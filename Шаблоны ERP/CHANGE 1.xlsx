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vaspy/Library/CloudStorage/SynologyDrive-home/0014/MBOM/Шаблоны ERP/"/>
    </mc:Choice>
  </mc:AlternateContent>
  <xr:revisionPtr revIDLastSave="0" documentId="13_ncr:1_{73945E0F-CD1A-F040-81F7-CC94FA467DE0}" xr6:coauthVersionLast="47" xr6:coauthVersionMax="47" xr10:uidLastSave="{00000000-0000-0000-0000-000000000000}"/>
  <bookViews>
    <workbookView xWindow="0" yWindow="520" windowWidth="22940" windowHeight="13360" xr2:uid="{D8B9FF7A-CD6C-FF47-9B37-A9C5F9889F6D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3" i="2" l="1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<sst xmlns="http://schemas.openxmlformats.org/spreadsheetml/2006/main" count="2399" uniqueCount="518">
  <si>
    <t>Producer</t>
  </si>
  <si>
    <t>Distributer</t>
  </si>
  <si>
    <t>Height</t>
  </si>
  <si>
    <t>Width</t>
  </si>
  <si>
    <t>Length</t>
  </si>
  <si>
    <t>00</t>
  </si>
  <si>
    <t/>
  </si>
  <si>
    <t>EBMC.442314.001_01</t>
  </si>
  <si>
    <t>000628</t>
  </si>
  <si>
    <t>EBMC.442314.001</t>
  </si>
  <si>
    <t>01</t>
  </si>
  <si>
    <t>Комплект ЭСМАП 0014</t>
  </si>
  <si>
    <t>Комплект</t>
  </si>
  <si>
    <t>KIT-Installation - electro</t>
  </si>
  <si>
    <t>*</t>
  </si>
  <si>
    <t>EBMC.0014.999_00</t>
  </si>
  <si>
    <t>EBMC.0014.999</t>
  </si>
  <si>
    <t>Непоставляемые компоненты ЭСМАП в ВАСО 001</t>
  </si>
  <si>
    <t>EBMC.421949.001_00</t>
  </si>
  <si>
    <t>EBMC.421949.001</t>
  </si>
  <si>
    <t>Комплект моторно-управляющий</t>
  </si>
  <si>
    <t>Свернутые замечания</t>
  </si>
  <si>
    <t>EBMC.0014.998_00</t>
  </si>
  <si>
    <t>EBMC.0014.998</t>
  </si>
  <si>
    <t>ЗИП непоставляемый</t>
  </si>
  <si>
    <t>006163_00</t>
  </si>
  <si>
    <t>000714</t>
  </si>
  <si>
    <t>006163</t>
  </si>
  <si>
    <t>Кронштейн</t>
  </si>
  <si>
    <t>Деталь</t>
  </si>
  <si>
    <t>Bent sheet metal (&lt;500mm)</t>
  </si>
  <si>
    <t>KMU</t>
  </si>
  <si>
    <t>006195_00</t>
  </si>
  <si>
    <t>000744</t>
  </si>
  <si>
    <t>006195</t>
  </si>
  <si>
    <t>Монтажная пластина</t>
  </si>
  <si>
    <t>Cutting sheets(&lt;=5 mm thickness)</t>
  </si>
  <si>
    <t xml:space="preserve">KMU
</t>
  </si>
  <si>
    <t>005555_00</t>
  </si>
  <si>
    <t>005555</t>
  </si>
  <si>
    <t>Панель</t>
  </si>
  <si>
    <t>005556_00</t>
  </si>
  <si>
    <t>005556</t>
  </si>
  <si>
    <t>Пластина</t>
  </si>
  <si>
    <t>006192_00</t>
  </si>
  <si>
    <t>000745</t>
  </si>
  <si>
    <t>006192</t>
  </si>
  <si>
    <t>Шпилька</t>
  </si>
  <si>
    <t>Cutting profile</t>
  </si>
  <si>
    <t>006065_00</t>
  </si>
  <si>
    <t>006065</t>
  </si>
  <si>
    <t>DIN рейка</t>
  </si>
  <si>
    <t>006082_00</t>
  </si>
  <si>
    <t>000749</t>
  </si>
  <si>
    <t>006082</t>
  </si>
  <si>
    <t>Бак СОЖ</t>
  </si>
  <si>
    <t>3D printing</t>
  </si>
  <si>
    <t>EBMC.421415.001_00</t>
  </si>
  <si>
    <t>000750</t>
  </si>
  <si>
    <t>EBMC.421415.001</t>
  </si>
  <si>
    <t>Блок управляющий B-16</t>
  </si>
  <si>
    <t>Сборочная единица</t>
  </si>
  <si>
    <t>Assembly of electrical cabinets and units</t>
  </si>
  <si>
    <t>EBMC.421415.004_00</t>
  </si>
  <si>
    <t>EBMC.421415.004</t>
  </si>
  <si>
    <t>Панель интерфейсная PAN</t>
  </si>
  <si>
    <t>005473_00</t>
  </si>
  <si>
    <t>005473</t>
  </si>
  <si>
    <t>Набор разъема панельного интерфейсов</t>
  </si>
  <si>
    <t>EBMC.421314.001_00</t>
  </si>
  <si>
    <t>EBMC.421314.001</t>
  </si>
  <si>
    <t>Блок моторный М-5</t>
  </si>
  <si>
    <t>EBMC.421415.009_00</t>
  </si>
  <si>
    <t>EBMC.421415.009</t>
  </si>
  <si>
    <t>Салазки пневмоклапанов и насоса SLCLAP</t>
  </si>
  <si>
    <t>EBMC.421415.007_00</t>
  </si>
  <si>
    <t>EBMC.421415.007</t>
  </si>
  <si>
    <t>Салазки драйвера основного мотора SLMDR</t>
  </si>
  <si>
    <t>EBMC.421415.005_00</t>
  </si>
  <si>
    <t>EBMC.421415.005</t>
  </si>
  <si>
    <t>Салазки контроллера SLPLC</t>
  </si>
  <si>
    <t>EBMC.421415.008_00</t>
  </si>
  <si>
    <t>EBMC.421415.008</t>
  </si>
  <si>
    <t>Салазки силового питания DC SLPOW</t>
  </si>
  <si>
    <t>EBMC.421415.006_00</t>
  </si>
  <si>
    <t>EBMC.421415.006</t>
  </si>
  <si>
    <t>Салазки серводрайвера SLSRV</t>
  </si>
  <si>
    <t>006198_00</t>
  </si>
  <si>
    <t>006198</t>
  </si>
  <si>
    <t>Мотор-редуктор MBOX</t>
  </si>
  <si>
    <t>EBMC.421415.002_00</t>
  </si>
  <si>
    <t>EBMC.421415.002</t>
  </si>
  <si>
    <t>Корпус BOX</t>
  </si>
  <si>
    <t>006172_00</t>
  </si>
  <si>
    <t>006172</t>
  </si>
  <si>
    <t>Привод момента</t>
  </si>
  <si>
    <t>005471_00</t>
  </si>
  <si>
    <t>005471</t>
  </si>
  <si>
    <t>Набор разъема панельного пневмоклапанов и насоса</t>
  </si>
  <si>
    <t>005472_00</t>
  </si>
  <si>
    <t>005472</t>
  </si>
  <si>
    <t>Набор разъема панельного драйвера основного мотора</t>
  </si>
  <si>
    <t>005474_00</t>
  </si>
  <si>
    <t>005474</t>
  </si>
  <si>
    <t>Набор разъема панельного контроллера</t>
  </si>
  <si>
    <t>005475_00</t>
  </si>
  <si>
    <t>005475</t>
  </si>
  <si>
    <t>Набор разъема панельного силового питания</t>
  </si>
  <si>
    <t>005476_00</t>
  </si>
  <si>
    <t>005476</t>
  </si>
  <si>
    <t>Набор разъема панельного серводрайвера</t>
  </si>
  <si>
    <t>005477_00</t>
  </si>
  <si>
    <t>005477</t>
  </si>
  <si>
    <t>Набор разъема салазок пневмоклапанов и насоса</t>
  </si>
  <si>
    <t>006200_00</t>
  </si>
  <si>
    <t>006200</t>
  </si>
  <si>
    <t>Кабель CAB-5</t>
  </si>
  <si>
    <t>006214_00</t>
  </si>
  <si>
    <t>006214</t>
  </si>
  <si>
    <t>Главный разъем</t>
  </si>
  <si>
    <t>006166_00</t>
  </si>
  <si>
    <t>006166</t>
  </si>
  <si>
    <t>Привод подачи</t>
  </si>
  <si>
    <t>005484_00</t>
  </si>
  <si>
    <t>005484</t>
  </si>
  <si>
    <t>Функциональные  блоки</t>
  </si>
  <si>
    <t>005481_00</t>
  </si>
  <si>
    <t>005481</t>
  </si>
  <si>
    <t>Набор разъема салазок драйвера основного мотора</t>
  </si>
  <si>
    <t>005487_00</t>
  </si>
  <si>
    <t>005487</t>
  </si>
  <si>
    <t>005478_00</t>
  </si>
  <si>
    <t>005478</t>
  </si>
  <si>
    <t>Набор разъема салазок контроллера</t>
  </si>
  <si>
    <t>005479_00</t>
  </si>
  <si>
    <t>005479</t>
  </si>
  <si>
    <t>Набор разъема салазок силового питания</t>
  </si>
  <si>
    <t>005490_00</t>
  </si>
  <si>
    <t>005490</t>
  </si>
  <si>
    <t>005480_00</t>
  </si>
  <si>
    <t>005480</t>
  </si>
  <si>
    <t>Набор разъема салазок серводрайвера</t>
  </si>
  <si>
    <t>005492_00</t>
  </si>
  <si>
    <t>005492</t>
  </si>
  <si>
    <t>PKI_0000362_00</t>
  </si>
  <si>
    <t>000751</t>
  </si>
  <si>
    <t>PKI_0000362</t>
  </si>
  <si>
    <t>Пружина сжатия серии CS Strtool 2870 EN 10270-1-SH</t>
  </si>
  <si>
    <t>Покупное изделие</t>
  </si>
  <si>
    <t>SRTools</t>
  </si>
  <si>
    <t>Strtool 2870 EN 10270-1-SH</t>
  </si>
  <si>
    <t>PKI_0000356_00</t>
  </si>
  <si>
    <t>PKI_0000356</t>
  </si>
  <si>
    <t>Пружина сжатия серии CS Strtool 2830 EN 10270-1-SH</t>
  </si>
  <si>
    <t>Strtool 2830 EN 10270-1-SH</t>
  </si>
  <si>
    <t>PKI_0000342_00</t>
  </si>
  <si>
    <t>PKI_0000342</t>
  </si>
  <si>
    <t>Сборка AM-BL2453BF-2409, AM-EN1611S103-1024, AM-24GPB-22</t>
  </si>
  <si>
    <t>AssunMotorLtd</t>
  </si>
  <si>
    <t>AM-BL2453BF-2409, AM-EN1611S103-1024, AM-24GPB-22</t>
  </si>
  <si>
    <t>PKI_0000320_00</t>
  </si>
  <si>
    <t>PKI_0000320</t>
  </si>
  <si>
    <t>Контроллер двигателя Maytech MTSPF7.5HK 300A 75V</t>
  </si>
  <si>
    <t>Maytech</t>
  </si>
  <si>
    <t>PKI_0000287_00</t>
  </si>
  <si>
    <t>PKI_0000287</t>
  </si>
  <si>
    <t>Сервоконтроллер AM-SOC-10-20-MAAS</t>
  </si>
  <si>
    <t>Сервоконтроллер Assun AM-SOC-10-20-MAAS</t>
  </si>
  <si>
    <t>PKI_0000340_00</t>
  </si>
  <si>
    <t>PKI_0000340</t>
  </si>
  <si>
    <t>Бесколлекторный сенсорный двигатель без уплотнений MTO6374-HA 170 KV</t>
  </si>
  <si>
    <t>MTO6374-HA 170 KV</t>
  </si>
  <si>
    <t>PKI_0000216_00</t>
  </si>
  <si>
    <t>PKI_0000216</t>
  </si>
  <si>
    <t>Вилка ВПМ-40-4</t>
  </si>
  <si>
    <t>Каскад НПО</t>
  </si>
  <si>
    <t>06111230</t>
  </si>
  <si>
    <t>PKI_0000248_00</t>
  </si>
  <si>
    <t>PKI_0000248</t>
  </si>
  <si>
    <t>Корпус КМ-КВ-1Б/М40-1В-104х27</t>
  </si>
  <si>
    <t>06408100</t>
  </si>
  <si>
    <t>PKI_0000220_00</t>
  </si>
  <si>
    <t>PKI_0000220</t>
  </si>
  <si>
    <t>Вилка ВПМ-10-42</t>
  </si>
  <si>
    <t>06111310</t>
  </si>
  <si>
    <t>PKI_0000221_00</t>
  </si>
  <si>
    <t>PKI_0000221</t>
  </si>
  <si>
    <t>Вилка ВПМ-10-17</t>
  </si>
  <si>
    <t>06111190</t>
  </si>
  <si>
    <t>PKI_0000252_00</t>
  </si>
  <si>
    <t>PKI_0000252</t>
  </si>
  <si>
    <t>Контакт КШ-40-6,0</t>
  </si>
  <si>
    <t>06200310</t>
  </si>
  <si>
    <t>PKI_0000251_00</t>
  </si>
  <si>
    <t>PKI_0000251</t>
  </si>
  <si>
    <t>Контакт КШ-10-1,5</t>
  </si>
  <si>
    <t>06200090</t>
  </si>
  <si>
    <t>PKI_0000353_00</t>
  </si>
  <si>
    <t>PKI_0000353</t>
  </si>
  <si>
    <t>Крышка КЗМ-К-1С-104х27</t>
  </si>
  <si>
    <t>06408530</t>
  </si>
  <si>
    <t>PKI_0000250_00</t>
  </si>
  <si>
    <t>PKI_0000250</t>
  </si>
  <si>
    <t>Контакт КШ-10-0,5</t>
  </si>
  <si>
    <t>06200030</t>
  </si>
  <si>
    <t>PKI_0000246_00</t>
  </si>
  <si>
    <t>PKI_0000246</t>
  </si>
  <si>
    <t>Контакт КГ-10-1,5</t>
  </si>
  <si>
    <t>06200100</t>
  </si>
  <si>
    <t>PKI_0000253_00</t>
  </si>
  <si>
    <t>PKI_0000253</t>
  </si>
  <si>
    <t>Рамка установочная РУ1-М6-В-104х27</t>
  </si>
  <si>
    <t>06305060</t>
  </si>
  <si>
    <t>PKI_0000254_00</t>
  </si>
  <si>
    <t>PKI_0000254</t>
  </si>
  <si>
    <t>Ввод кабельный М 40 УТ1,5 IP66/IP67/IP68</t>
  </si>
  <si>
    <t>3ЭТАРУС</t>
  </si>
  <si>
    <t>PKI_0000247_00</t>
  </si>
  <si>
    <t>PKI_0000247</t>
  </si>
  <si>
    <t>Контакт КГ-40-6,0</t>
  </si>
  <si>
    <t>06200320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</si>
  <si>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</si>
  <si>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</si>
  <si>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</si>
  <si>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</si>
  <si>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</si>
  <si>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</si>
  <si>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PKI_0000217_00</t>
  </si>
  <si>
    <t>PKI_0000217</t>
  </si>
  <si>
    <t>Разъём BRJ45</t>
  </si>
  <si>
    <t>EMAS</t>
  </si>
  <si>
    <t>PKI_0000218_00</t>
  </si>
  <si>
    <t>PKI_0000218</t>
  </si>
  <si>
    <t>Бачок 21011-3505100</t>
  </si>
  <si>
    <t>УНИП сервис</t>
  </si>
  <si>
    <t>PKI_0000219_00</t>
  </si>
  <si>
    <t>PKI_0000219</t>
  </si>
  <si>
    <t>Розетка панельная IP54 2P+E 16 А DIS5702061</t>
  </si>
  <si>
    <t>DKC</t>
  </si>
  <si>
    <t>Чип и Дип</t>
  </si>
  <si>
    <t>PKI_0000329_00</t>
  </si>
  <si>
    <t>PKI_0000329</t>
  </si>
  <si>
    <t>Реле 3-32VDC, 100A/440VAC</t>
  </si>
  <si>
    <t>NCR</t>
  </si>
  <si>
    <t>HHG1-1/032F-38-100A</t>
  </si>
  <si>
    <t>PKI_0000231_00</t>
  </si>
  <si>
    <t>PKI_0000231</t>
  </si>
  <si>
    <t>Клемма плоская изолированная РПи-м 1.5-(4.8)/РпИм</t>
  </si>
  <si>
    <t>Rexant</t>
  </si>
  <si>
    <t>PKI_0000225_00</t>
  </si>
  <si>
    <t>PKI_0000225</t>
  </si>
  <si>
    <t>Переключатель красный A14B1K11</t>
  </si>
  <si>
    <t>PKI_0000227_00</t>
  </si>
  <si>
    <t>PKI_0000227</t>
  </si>
  <si>
    <t>Силиконовый колпачок A14 EK2</t>
  </si>
  <si>
    <t>Все инструменты</t>
  </si>
  <si>
    <t>PKI_0000228_00</t>
  </si>
  <si>
    <t>PKI_0000228</t>
  </si>
  <si>
    <t>Шина PE земля YNN10-69-8D-K05</t>
  </si>
  <si>
    <t>PKI_0000229_00</t>
  </si>
  <si>
    <t>PKI_0000229</t>
  </si>
  <si>
    <t>Кабель для передачи данных HELUKABEL 802914</t>
  </si>
  <si>
    <t>HELUKABEL</t>
  </si>
  <si>
    <t>PKI_0000313_00</t>
  </si>
  <si>
    <t>PKI_0000313</t>
  </si>
  <si>
    <t>Резистор PR02000201004JA100</t>
  </si>
  <si>
    <t>VishayIntertechnologyInc</t>
  </si>
  <si>
    <t>PKI_0000283_00</t>
  </si>
  <si>
    <t>PKI_0000283</t>
  </si>
  <si>
    <t>Фильтр N104-F00</t>
  </si>
  <si>
    <t>Camozzi</t>
  </si>
  <si>
    <t>PKI_0000298_00</t>
  </si>
  <si>
    <t>PKI_0000298</t>
  </si>
  <si>
    <t>Муфта цанговая Camozzi 6590-6</t>
  </si>
  <si>
    <t>PKI_0000305_00</t>
  </si>
  <si>
    <t>PKI_0000305</t>
  </si>
  <si>
    <t>Корпус пластиковый G203 C [RUS]</t>
  </si>
  <si>
    <t>УТОЧНИТЬ</t>
  </si>
  <si>
    <t>PKI_0000232_00</t>
  </si>
  <si>
    <t>PKI_0000232</t>
  </si>
  <si>
    <t>Датчик напряжения SNR-PHD-DIN-1.0</t>
  </si>
  <si>
    <t>SNR</t>
  </si>
  <si>
    <t>PKI_0000233_00</t>
  </si>
  <si>
    <t>PKI_0000233</t>
  </si>
  <si>
    <t>Предохранитель-разъединитель pr-10-38-1</t>
  </si>
  <si>
    <t>EKF</t>
  </si>
  <si>
    <t>PKI_0000234_00</t>
  </si>
  <si>
    <t>PKI_0000234</t>
  </si>
  <si>
    <t>Предохранитель-разъединитель pr-10-38-2</t>
  </si>
  <si>
    <t>PKI_0000235_00</t>
  </si>
  <si>
    <t>PKI_0000235</t>
  </si>
  <si>
    <t>Плавкая вставка цилиндрическая (10x38) 16А pvc-10x38-16</t>
  </si>
  <si>
    <t>ПВЦ (10x38) 16А</t>
  </si>
  <si>
    <t>PKI_0000236_00</t>
  </si>
  <si>
    <t>PKI_0000236</t>
  </si>
  <si>
    <t>Плавкая вставка цилиндрическая (10x38) 20А pvc-10x38-20</t>
  </si>
  <si>
    <t>ПВЦ (10x38) 20А</t>
  </si>
  <si>
    <t>PKI_0000237_00</t>
  </si>
  <si>
    <t>PKI_0000237</t>
  </si>
  <si>
    <t>Вилка ВПМ-40-3А/8</t>
  </si>
  <si>
    <t>06111150</t>
  </si>
  <si>
    <t>PKI_0000335_00</t>
  </si>
  <si>
    <t>PKI_0000335</t>
  </si>
  <si>
    <t>Теплопроводящая паста КПТ-8 Connector 10 г.</t>
  </si>
  <si>
    <t>Connector</t>
  </si>
  <si>
    <t>PKI_0000339_00</t>
  </si>
  <si>
    <t>PKI_0000339</t>
  </si>
  <si>
    <t>Наконечник кабельный ВНКИ 6.0-6</t>
  </si>
  <si>
    <t>КВТ</t>
  </si>
  <si>
    <t>PKI_0000338_00</t>
  </si>
  <si>
    <t>PKI_0000338</t>
  </si>
  <si>
    <t>Гильза медная ГМ 4-3</t>
  </si>
  <si>
    <t>PKI_0000260_00</t>
  </si>
  <si>
    <t>PKI_0000260</t>
  </si>
  <si>
    <t>Рамка установочная РУ1-М2-В-44х27</t>
  </si>
  <si>
    <t>06305020</t>
  </si>
  <si>
    <t>PKI_0000259_00</t>
  </si>
  <si>
    <t>PKI_0000259</t>
  </si>
  <si>
    <t>Реле приоритета нагрузки РПН-1М-40 УХЛ4</t>
  </si>
  <si>
    <t>Меандр</t>
  </si>
  <si>
    <t>PKI_0000240_00</t>
  </si>
  <si>
    <t>PKI_0000240</t>
  </si>
  <si>
    <t>Заглушка (СПМ) 06111000</t>
  </si>
  <si>
    <t>Заглушка (СПМ)</t>
  </si>
  <si>
    <t>06111000</t>
  </si>
  <si>
    <t>PKI_0000255_00</t>
  </si>
  <si>
    <t>PKI_0000255</t>
  </si>
  <si>
    <t>Провод силиконовый 10AWG 6 кв мм (красный)</t>
  </si>
  <si>
    <t>AB retail</t>
  </si>
  <si>
    <t>PKI_0000243_00</t>
  </si>
  <si>
    <t>PKI_0000243</t>
  </si>
  <si>
    <t>Корпус КМ-ПР-0-1С-44х27-К</t>
  </si>
  <si>
    <t>06405320</t>
  </si>
  <si>
    <t>PKI_0000256_00</t>
  </si>
  <si>
    <t>PKI_0000256</t>
  </si>
  <si>
    <t>Провод силиконовый 10AWG 6 кв мм (черный)</t>
  </si>
  <si>
    <t>PKI_0000244_00</t>
  </si>
  <si>
    <t>PKI_0000244</t>
  </si>
  <si>
    <t>Контакт КГ-10-0,5</t>
  </si>
  <si>
    <t>06200040</t>
  </si>
  <si>
    <t>PKI_0000257_00</t>
  </si>
  <si>
    <t>PKI_0000257</t>
  </si>
  <si>
    <t>Реле времени РВО-1М АСDC24В/АС230В УХЛ4</t>
  </si>
  <si>
    <t>РВО-1М АСDC24В/АС230В УХЛ4</t>
  </si>
  <si>
    <t>PKI_0000304_00</t>
  </si>
  <si>
    <t>PKI_0000304</t>
  </si>
  <si>
    <t>Уплотнительное кольцо Festo OL-M14 161183</t>
  </si>
  <si>
    <t>Festo</t>
  </si>
  <si>
    <t>PKI_0000302_00</t>
  </si>
  <si>
    <t>PKI_0000302</t>
  </si>
  <si>
    <t>Быстроразъемная розетка Camozzi 5000 5081-1/4</t>
  </si>
  <si>
    <t>PKI_0000303_00</t>
  </si>
  <si>
    <t>PKI_0000303</t>
  </si>
  <si>
    <t>Фитинг цанговый угловой Camozzi S6520-6-1/4</t>
  </si>
  <si>
    <t>PKI_0000269_00</t>
  </si>
  <si>
    <t>PKI_0000269</t>
  </si>
  <si>
    <t>Головной модуль LC3-AP</t>
  </si>
  <si>
    <t>Xinje</t>
  </si>
  <si>
    <t>IPC2U</t>
  </si>
  <si>
    <t>PKI_0000266_00</t>
  </si>
  <si>
    <t>PKI_0000266</t>
  </si>
  <si>
    <t>Провод HELUKAT PROFINET 5e 805654</t>
  </si>
  <si>
    <t>PKI_0000285_00</t>
  </si>
  <si>
    <t>PKI_0000285</t>
  </si>
  <si>
    <t>Встраиваемый компьютер iROBO-6000-033D</t>
  </si>
  <si>
    <t>iROBO</t>
  </si>
  <si>
    <t>PKI_0000270_00</t>
  </si>
  <si>
    <t>PKI_0000270</t>
  </si>
  <si>
    <t>Модуль ввода-вывода XL-E8AD-V</t>
  </si>
  <si>
    <t>PKI_0000271_00</t>
  </si>
  <si>
    <t>PKI_0000271</t>
  </si>
  <si>
    <t>Модуль ввода-вывода XL-E16PX16PYT</t>
  </si>
  <si>
    <t>PKI_0000293_00</t>
  </si>
  <si>
    <t>PKI_0000293</t>
  </si>
  <si>
    <t>Блок питания HRP-300-24</t>
  </si>
  <si>
    <t>MeanWell</t>
  </si>
  <si>
    <t>PKI_0000294_00</t>
  </si>
  <si>
    <t>PKI_0000294</t>
  </si>
  <si>
    <t>Кабель управления PAAR-TRONIC-CY 3x2x0,5</t>
  </si>
  <si>
    <t>PKI_0000295_00</t>
  </si>
  <si>
    <t>PKI_0000295</t>
  </si>
  <si>
    <t>Блок питания RS-25-5</t>
  </si>
  <si>
    <t>PKI_0000296_00</t>
  </si>
  <si>
    <t>PKI_0000296</t>
  </si>
  <si>
    <t>Блок питания RS-25-12</t>
  </si>
  <si>
    <t>PKI_0000351_00</t>
  </si>
  <si>
    <t>PKI_0000351</t>
  </si>
  <si>
    <t>Контакт КШ-40-4,0</t>
  </si>
  <si>
    <t>06200290</t>
  </si>
  <si>
    <t>PKI_0000301_00</t>
  </si>
  <si>
    <t>PKI_0000301</t>
  </si>
  <si>
    <t>Подшипник 61800-2Z</t>
  </si>
  <si>
    <t>SKF</t>
  </si>
  <si>
    <t>PKI_0000358_00</t>
  </si>
  <si>
    <t>PKI_0000358</t>
  </si>
  <si>
    <t>Подшипник 618/8-2Z</t>
  </si>
  <si>
    <t>Подшипник 618/8-2Z SKF</t>
  </si>
  <si>
    <t>PKI_0000223_00</t>
  </si>
  <si>
    <t>PKI_0000223</t>
  </si>
  <si>
    <t>Розетка РПМ-10-42</t>
  </si>
  <si>
    <t>06111320</t>
  </si>
  <si>
    <t>PKI_0000222_00</t>
  </si>
  <si>
    <t>PKI_0000222</t>
  </si>
  <si>
    <t>Розетка РПМ-10-17</t>
  </si>
  <si>
    <t>06111200</t>
  </si>
  <si>
    <t>PKI_0000224_00</t>
  </si>
  <si>
    <t>PKI_0000224</t>
  </si>
  <si>
    <t>Рамка установочная РУ1-М6-Р-104х27</t>
  </si>
  <si>
    <t>06305160</t>
  </si>
  <si>
    <t>PKI_0000249_00</t>
  </si>
  <si>
    <t>PKI_0000249</t>
  </si>
  <si>
    <t>Корпус КМ-ПР-0-1С-104х27-К</t>
  </si>
  <si>
    <t>06408360</t>
  </si>
  <si>
    <t>PKI_0000215_00</t>
  </si>
  <si>
    <t>PKI_0000215</t>
  </si>
  <si>
    <t>Розетка РПМ-40-4</t>
  </si>
  <si>
    <t>06111240</t>
  </si>
  <si>
    <t>PKI_0000308_00</t>
  </si>
  <si>
    <t>PKI_0000308</t>
  </si>
  <si>
    <t>Вилка ВПМ-100-2А/25</t>
  </si>
  <si>
    <t>06111070</t>
  </si>
  <si>
    <t>PKI_0000275_00</t>
  </si>
  <si>
    <t>PKI_0000275</t>
  </si>
  <si>
    <t>Рамка установочная РУ-М8</t>
  </si>
  <si>
    <t>06311080</t>
  </si>
  <si>
    <t>PKI_0000273_00</t>
  </si>
  <si>
    <t>PKI_0000273</t>
  </si>
  <si>
    <t>Вилка ВПМ-1-8</t>
  </si>
  <si>
    <t>061100937</t>
  </si>
  <si>
    <t>PKI_0000309_00</t>
  </si>
  <si>
    <t>PKI_0000309</t>
  </si>
  <si>
    <t>Розетка РПМ-100-2А/35</t>
  </si>
  <si>
    <t>06111100</t>
  </si>
  <si>
    <t>PKI_0000274_00</t>
  </si>
  <si>
    <t>PKI_0000274</t>
  </si>
  <si>
    <t>Розетка РПМ-1-8</t>
  </si>
  <si>
    <t>061092744</t>
  </si>
  <si>
    <t>PKI_0000311_00</t>
  </si>
  <si>
    <t>PKI_0000311</t>
  </si>
  <si>
    <t>Контакт КГ-40-2,5</t>
  </si>
  <si>
    <t>06200280</t>
  </si>
  <si>
    <t>PKI_0000327_00</t>
  </si>
  <si>
    <t>PKI_0000327</t>
  </si>
  <si>
    <t>Распределитель 810C3404-F131Y-N00-2C-C014</t>
  </si>
  <si>
    <t>PKI_0000317_00</t>
  </si>
  <si>
    <t>PKI_0000317</t>
  </si>
  <si>
    <t>Мембранный насос KNF FMM 80 KPDC-P</t>
  </si>
  <si>
    <t>KNF</t>
  </si>
  <si>
    <t>PKI_0000312_00</t>
  </si>
  <si>
    <t>PKI_0000312</t>
  </si>
  <si>
    <t>Контакт КШ-40-2,5</t>
  </si>
  <si>
    <t>06200270</t>
  </si>
  <si>
    <t>PKI_0000323_00</t>
  </si>
  <si>
    <t>PKI_0000323</t>
  </si>
  <si>
    <t>Блок питания RSP-3000-48</t>
  </si>
  <si>
    <t>STI_0007650_00</t>
  </si>
  <si>
    <t>000752</t>
  </si>
  <si>
    <t>STI_0007650</t>
  </si>
  <si>
    <t>Гайка M4-6H.8.08 ГОСТ 5915-70</t>
  </si>
  <si>
    <t>Стандартное изделие</t>
  </si>
  <si>
    <t>STI_0007666_00</t>
  </si>
  <si>
    <t>STI_0007666</t>
  </si>
  <si>
    <t>Гайка M6-6H.8.08 ГОСТ 5915-70</t>
  </si>
  <si>
    <t>STI_0022469_00</t>
  </si>
  <si>
    <t>STI_0022469</t>
  </si>
  <si>
    <t>Винт М4х25-А2-070 ГОСТ ISO 7380-1</t>
  </si>
  <si>
    <t>STI_0022473_00</t>
  </si>
  <si>
    <t>STI_0022473</t>
  </si>
  <si>
    <t>Винт М5х8-А2-070 ГОСТ ISO 7380-1</t>
  </si>
  <si>
    <t>STI_0022486_00</t>
  </si>
  <si>
    <t>STI_0022486</t>
  </si>
  <si>
    <t>Винт М6х16-А2-070 ГОСТ ISO 7380-1</t>
  </si>
  <si>
    <t>STI_0022487_00</t>
  </si>
  <si>
    <t>STI_0022487</t>
  </si>
  <si>
    <t>Винт М6х20-А2-070 ГОСТ ISO 7380-1</t>
  </si>
  <si>
    <t>STI_0022495_00</t>
  </si>
  <si>
    <t>STI_0022495</t>
  </si>
  <si>
    <t>Винт М6х60-А2-070 ГОСТ ISO 7380-1</t>
  </si>
  <si>
    <t>STI_0022467_00</t>
  </si>
  <si>
    <t>STI_0022467</t>
  </si>
  <si>
    <t>Винт М4х16-А2-070 ГОСТ ISO 7380-1</t>
  </si>
  <si>
    <t>STI_0014784_00</t>
  </si>
  <si>
    <t>STI_0014784</t>
  </si>
  <si>
    <t>Шайба С.4.01.08кп.08 ГОСТ 11371-78</t>
  </si>
  <si>
    <t>STI_0014800_00</t>
  </si>
  <si>
    <t>STI_0014800</t>
  </si>
  <si>
    <t>Шайба С.6.01.08кп.08 ГОСТ 11371-78</t>
  </si>
  <si>
    <t>STI_0006376_00</t>
  </si>
  <si>
    <t>STI_0006376</t>
  </si>
  <si>
    <t>Винт установочный DIN 913-M4x4-45H</t>
  </si>
  <si>
    <t>STI_0008707_00</t>
  </si>
  <si>
    <t>STI_0008707</t>
  </si>
  <si>
    <t>Кольцо А10.Хим.Фос.прм ГОСТ 13942-86</t>
  </si>
  <si>
    <t>STI_0015636_00</t>
  </si>
  <si>
    <t>STI_0015636</t>
  </si>
  <si>
    <t>Шпонка 3x3x18 ГОСТ 23360-78</t>
  </si>
  <si>
    <t>0014</t>
  </si>
  <si>
    <t>Project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</si>
  <si>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</si>
  <si>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</si>
  <si>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</si>
  <si>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</si>
  <si>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</si>
  <si>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</si>
  <si>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</si>
  <si>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</si>
  <si>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</si>
  <si>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</si>
  <si>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</si>
  <si>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</si>
  <si>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</si>
  <si>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Unit_of_measure</t>
  </si>
  <si>
    <t>Advanced_group</t>
  </si>
  <si>
    <t>Mass_kg</t>
  </si>
  <si>
    <t>Producer_article</t>
  </si>
  <si>
    <t>Distributer_article</t>
  </si>
  <si>
    <t>Quantity_change</t>
  </si>
  <si>
    <t>Components_quantity_in_assembly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</si>
</sst>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 shrinkToFit="1"/>
    </xf>
    <xf numFmtId="49" fontId="0" fillId="0" borderId="3" xfId="0" applyNumberFormat="1" applyBorder="1" applyAlignment="1">
      <alignment vertical="center" wrapText="1" shrinkToFit="1"/>
    </xf>
    <xf numFmtId="0" fontId="0" fillId="0" borderId="0" xfId="0" applyAlignment="1">
      <alignment horizontal="left"/>
    </xf>
    <xf numFmtId="49" fontId="0" fillId="0" borderId="0" xfId="0" applyNumberFormat="1"/>
    <xf numFmtId="11" fontId="0" fillId="0" borderId="0" xfId="0" applyNumberFormat="1"/>
    <xf numFmtId="49" fontId="0" fillId="0" borderId="4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47D-E413-4F47-B7A0-CC77A5C51375}">
  <dimension ref="A1:Z133"/>
  <sheetViews>
    <sheetView tabSelected="1" topLeftCell="J1" zoomScale="132" zoomScaleNormal="100" workbookViewId="0">
      <selection activeCell="L2" sqref="L2"/>
    </sheetView>
  </sheetViews>
  <sheetFormatPr baseColWidth="10" defaultColWidth="8.83203125" defaultRowHeight="15" x14ac:dyDescent="0.2"/>
  <cols>
    <col min="1" max="1" width="20.6640625" bestFit="1" customWidth="1"/>
    <col min="2" max="2" width="20.6640625" customWidth="1"/>
    <col min="3" max="3" width="26" bestFit="1" customWidth="1"/>
    <col min="4" max="4" width="31.6640625" customWidth="1"/>
    <col min="5" max="5" width="19" customWidth="1"/>
    <col min="6" max="6" width="73" bestFit="1" customWidth="1"/>
    <col min="7" max="7" width="25.6640625" customWidth="1"/>
    <col min="8" max="8" width="27.1640625" customWidth="1"/>
    <col min="9" max="9" width="20.83203125" bestFit="1" customWidth="1"/>
    <col min="10" max="10" width="21.33203125" customWidth="1"/>
    <col min="11" max="11" width="54.1640625" customWidth="1"/>
    <col min="12" max="12" width="28.6640625" bestFit="1" customWidth="1"/>
    <col min="13" max="13" width="12.5" bestFit="1" customWidth="1"/>
    <col min="14" max="14" width="23.6640625" bestFit="1" customWidth="1"/>
    <col min="15" max="15" width="53.83203125" customWidth="1"/>
    <col min="16" max="16" width="21.33203125" bestFit="1" customWidth="1"/>
    <col min="17" max="17" width="17" customWidth="1"/>
    <col min="18" max="18" width="23.5" customWidth="1"/>
    <col min="19" max="19" width="37.1640625" bestFit="1" customWidth="1"/>
    <col min="20" max="20" width="23.33203125" customWidth="1"/>
    <col min="21" max="21" width="15.33203125" customWidth="1"/>
    <col min="22" max="22" width="6.6640625" customWidth="1"/>
    <col min="23" max="23" width="6.5" customWidth="1"/>
    <col min="24" max="24" width="7" customWidth="1"/>
    <col min="25" max="25" width="21.5" customWidth="1"/>
    <col min="26" max="26" width="8.83203125" style="10"/>
  </cols>
  <sheetData>
    <row r="1" spans="1:26" s="4" customFormat="1" ht="17" thickBot="1" x14ac:dyDescent="0.25">
      <c r="A1" s="1" t="s">
        <v>498</v>
      </c>
      <c r="B1" s="12" t="s">
        <v>516</v>
      </c>
      <c r="C1" s="2" t="s">
        <v>499</v>
      </c>
      <c r="D1" s="2" t="s">
        <v>500</v>
      </c>
      <c r="E1" s="2" t="s">
        <v>501</v>
      </c>
      <c r="F1" s="2" t="s">
        <v>502</v>
      </c>
      <c r="G1" s="2" t="s">
        <v>503</v>
      </c>
      <c r="H1" s="2" t="s">
        <v>504</v>
      </c>
      <c r="I1" s="2" t="s">
        <v>505</v>
      </c>
      <c r="J1" s="2" t="s">
        <v>506</v>
      </c>
      <c r="K1" s="2" t="s">
        <v>507</v>
      </c>
      <c r="L1" s="2" t="s">
        <v>517</v>
      </c>
      <c r="M1" s="2" t="s">
        <v>508</v>
      </c>
      <c r="N1" s="2" t="s">
        <v>0</v>
      </c>
      <c r="O1" s="2" t="s">
        <v>509</v>
      </c>
      <c r="P1" s="3" t="s">
        <v>514</v>
      </c>
      <c r="Q1" s="2" t="s">
        <v>1</v>
      </c>
      <c r="R1" s="2" t="s">
        <v>515</v>
      </c>
      <c r="S1" s="2" t="s">
        <v>510</v>
      </c>
      <c r="T1" s="5" t="s">
        <v>513</v>
      </c>
      <c r="U1" s="6" t="s">
        <v>511</v>
      </c>
      <c r="V1" s="7" t="s">
        <v>2</v>
      </c>
      <c r="W1" s="7" t="s">
        <v>3</v>
      </c>
      <c r="X1" s="8" t="s">
        <v>4</v>
      </c>
      <c r="Y1" s="8" t="s">
        <v>512</v>
      </c>
      <c r="Z1" s="4" t="s">
        <v>497</v>
      </c>
    </row>
    <row r="2" spans="1:26" x14ac:dyDescent="0.2">
      <c r="A2" s="9" t="s">
        <v>7</v>
      </c>
      <c r="B2" s="9">
        <f>I2</f>
        <v>1</v>
      </c>
      <c r="C2" s="9" t="s">
        <v>8</v>
      </c>
      <c r="D2" s="9" t="s">
        <v>9</v>
      </c>
      <c r="E2" s="9" t="s">
        <v>10</v>
      </c>
      <c r="F2" s="9" t="s">
        <v>11</v>
      </c>
      <c r="G2" s="9">
        <v>1</v>
      </c>
      <c r="H2" s="9">
        <v>1</v>
      </c>
      <c r="I2" s="9">
        <v>1</v>
      </c>
      <c r="J2" s="9" t="s">
        <v>12</v>
      </c>
      <c r="K2" s="9" t="s">
        <v>6</v>
      </c>
      <c r="L2" s="9"/>
      <c r="M2" s="9" t="s">
        <v>6</v>
      </c>
      <c r="S2" s="9" t="s">
        <v>13</v>
      </c>
      <c r="T2" s="9">
        <v>0</v>
      </c>
      <c r="U2" s="9" t="s">
        <v>14</v>
      </c>
      <c r="V2" s="9" t="s">
        <v>6</v>
      </c>
      <c r="W2" s="9" t="s">
        <v>6</v>
      </c>
      <c r="X2" s="9" t="s">
        <v>6</v>
      </c>
      <c r="Y2" s="9" t="s">
        <v>6</v>
      </c>
      <c r="Z2" s="10" t="s">
        <v>496</v>
      </c>
    </row>
    <row r="3" spans="1:26" x14ac:dyDescent="0.2">
      <c r="A3" s="9" t="s">
        <v>15</v>
      </c>
      <c r="B3" s="9">
        <f t="shared" ref="B3:B66" si="0">I3</f>
        <v>1</v>
      </c>
      <c r="C3" s="9" t="s">
        <v>8</v>
      </c>
      <c r="D3" s="9" t="s">
        <v>16</v>
      </c>
      <c r="E3" s="9" t="s">
        <v>5</v>
      </c>
      <c r="F3" s="9" t="s">
        <v>17</v>
      </c>
      <c r="G3" s="9">
        <v>1</v>
      </c>
      <c r="H3" s="9">
        <v>1</v>
      </c>
      <c r="I3" s="9">
        <v>1</v>
      </c>
      <c r="J3" s="9" t="s">
        <v>12</v>
      </c>
      <c r="K3" s="9" t="s">
        <v>6</v>
      </c>
      <c r="L3" s="9"/>
      <c r="M3" s="9" t="s">
        <v>6</v>
      </c>
      <c r="S3" s="9" t="s">
        <v>13</v>
      </c>
      <c r="T3" s="9" t="s">
        <v>6</v>
      </c>
      <c r="U3" s="9" t="s">
        <v>14</v>
      </c>
      <c r="V3" s="9" t="s">
        <v>6</v>
      </c>
      <c r="W3" s="9" t="s">
        <v>6</v>
      </c>
      <c r="X3" s="9" t="s">
        <v>6</v>
      </c>
      <c r="Y3" s="9" t="s">
        <v>6</v>
      </c>
      <c r="Z3" s="10" t="s">
        <v>496</v>
      </c>
    </row>
    <row r="4" spans="1:26" x14ac:dyDescent="0.2">
      <c r="A4" s="9" t="s">
        <v>18</v>
      </c>
      <c r="B4" s="9">
        <f t="shared" si="0"/>
        <v>9</v>
      </c>
      <c r="C4" s="9" t="s">
        <v>8</v>
      </c>
      <c r="D4" s="9" t="s">
        <v>19</v>
      </c>
      <c r="E4" s="9" t="s">
        <v>5</v>
      </c>
      <c r="F4" s="9" t="s">
        <v>20</v>
      </c>
      <c r="G4" s="9">
        <v>9</v>
      </c>
      <c r="H4" s="9">
        <v>1</v>
      </c>
      <c r="I4" s="9">
        <v>9</v>
      </c>
      <c r="J4" s="9" t="s">
        <v>12</v>
      </c>
      <c r="K4" s="9" t="s">
        <v>6</v>
      </c>
      <c r="L4" s="9"/>
      <c r="M4" t="s">
        <v>6</v>
      </c>
      <c r="S4" t="s">
        <v>13</v>
      </c>
      <c r="T4" t="s">
        <v>6</v>
      </c>
      <c r="U4" t="s">
        <v>14</v>
      </c>
      <c r="V4" t="s">
        <v>6</v>
      </c>
      <c r="W4" t="s">
        <v>6</v>
      </c>
      <c r="X4" t="s">
        <v>6</v>
      </c>
      <c r="Y4" t="s">
        <v>21</v>
      </c>
      <c r="Z4" s="10" t="s">
        <v>496</v>
      </c>
    </row>
    <row r="5" spans="1:26" x14ac:dyDescent="0.2">
      <c r="A5" t="s">
        <v>22</v>
      </c>
      <c r="B5" s="9">
        <f t="shared" si="0"/>
        <v>1</v>
      </c>
      <c r="C5" t="s">
        <v>8</v>
      </c>
      <c r="D5" t="s">
        <v>23</v>
      </c>
      <c r="E5" t="s">
        <v>5</v>
      </c>
      <c r="F5" t="s">
        <v>24</v>
      </c>
      <c r="G5">
        <v>1</v>
      </c>
      <c r="H5">
        <v>1</v>
      </c>
      <c r="I5">
        <v>1</v>
      </c>
      <c r="J5" t="s">
        <v>12</v>
      </c>
      <c r="K5" t="s">
        <v>6</v>
      </c>
      <c r="M5" t="s">
        <v>6</v>
      </c>
      <c r="S5" t="s">
        <v>13</v>
      </c>
      <c r="T5" t="s">
        <v>6</v>
      </c>
      <c r="U5" t="s">
        <v>14</v>
      </c>
      <c r="V5" t="s">
        <v>6</v>
      </c>
      <c r="W5" t="s">
        <v>6</v>
      </c>
      <c r="X5" t="s">
        <v>6</v>
      </c>
      <c r="Y5" t="s">
        <v>6</v>
      </c>
      <c r="Z5" s="10" t="s">
        <v>496</v>
      </c>
    </row>
    <row r="6" spans="1:26" x14ac:dyDescent="0.2">
      <c r="A6" t="s">
        <v>25</v>
      </c>
      <c r="B6" s="9">
        <f t="shared" si="0"/>
        <v>9</v>
      </c>
      <c r="C6" t="s">
        <v>26</v>
      </c>
      <c r="D6" t="s">
        <v>27</v>
      </c>
      <c r="E6" t="s">
        <v>5</v>
      </c>
      <c r="F6" t="s">
        <v>28</v>
      </c>
      <c r="G6">
        <v>9</v>
      </c>
      <c r="H6">
        <v>1</v>
      </c>
      <c r="I6">
        <v>9</v>
      </c>
      <c r="J6" t="s">
        <v>29</v>
      </c>
      <c r="K6" t="s">
        <v>6</v>
      </c>
      <c r="M6" t="s">
        <v>6</v>
      </c>
      <c r="S6" t="s">
        <v>30</v>
      </c>
      <c r="T6">
        <v>0</v>
      </c>
      <c r="U6" t="s">
        <v>14</v>
      </c>
      <c r="V6" t="s">
        <v>6</v>
      </c>
      <c r="W6" t="s">
        <v>6</v>
      </c>
      <c r="X6" t="s">
        <v>6</v>
      </c>
      <c r="Y6" t="s">
        <v>31</v>
      </c>
      <c r="Z6" s="10" t="s">
        <v>496</v>
      </c>
    </row>
    <row r="7" spans="1:26" x14ac:dyDescent="0.2">
      <c r="A7" t="s">
        <v>32</v>
      </c>
      <c r="B7" s="9">
        <f t="shared" si="0"/>
        <v>9</v>
      </c>
      <c r="C7" t="s">
        <v>33</v>
      </c>
      <c r="D7" t="s">
        <v>34</v>
      </c>
      <c r="E7" t="s">
        <v>5</v>
      </c>
      <c r="F7" t="s">
        <v>35</v>
      </c>
      <c r="G7">
        <v>9</v>
      </c>
      <c r="H7">
        <v>1</v>
      </c>
      <c r="I7">
        <v>9</v>
      </c>
      <c r="J7" t="s">
        <v>29</v>
      </c>
      <c r="K7" t="s">
        <v>6</v>
      </c>
      <c r="M7" t="s">
        <v>6</v>
      </c>
      <c r="S7" t="s">
        <v>36</v>
      </c>
      <c r="T7">
        <v>9.2107818092103194E-2</v>
      </c>
      <c r="U7" t="s">
        <v>14</v>
      </c>
      <c r="V7" t="s">
        <v>6</v>
      </c>
      <c r="W7" t="s">
        <v>6</v>
      </c>
      <c r="X7" t="s">
        <v>6</v>
      </c>
      <c r="Y7" t="s">
        <v>37</v>
      </c>
      <c r="Z7" s="10" t="s">
        <v>496</v>
      </c>
    </row>
    <row r="8" spans="1:26" x14ac:dyDescent="0.2">
      <c r="A8" t="s">
        <v>38</v>
      </c>
      <c r="B8" s="9">
        <f t="shared" si="0"/>
        <v>9</v>
      </c>
      <c r="C8" t="s">
        <v>33</v>
      </c>
      <c r="D8" t="s">
        <v>39</v>
      </c>
      <c r="E8" t="s">
        <v>5</v>
      </c>
      <c r="F8" t="s">
        <v>40</v>
      </c>
      <c r="G8">
        <v>9</v>
      </c>
      <c r="H8">
        <v>1</v>
      </c>
      <c r="I8">
        <v>9</v>
      </c>
      <c r="J8" t="s">
        <v>29</v>
      </c>
      <c r="K8" t="s">
        <v>6</v>
      </c>
      <c r="M8" t="s">
        <v>6</v>
      </c>
      <c r="S8" t="s">
        <v>36</v>
      </c>
      <c r="T8">
        <v>1.2493690909548201</v>
      </c>
      <c r="U8" t="s">
        <v>14</v>
      </c>
      <c r="V8" t="s">
        <v>6</v>
      </c>
      <c r="W8" t="s">
        <v>6</v>
      </c>
      <c r="X8" t="s">
        <v>6</v>
      </c>
      <c r="Y8" t="s">
        <v>31</v>
      </c>
      <c r="Z8" s="10" t="s">
        <v>496</v>
      </c>
    </row>
    <row r="9" spans="1:26" x14ac:dyDescent="0.2">
      <c r="A9" t="s">
        <v>41</v>
      </c>
      <c r="B9" s="9">
        <f t="shared" si="0"/>
        <v>9</v>
      </c>
      <c r="C9" t="s">
        <v>33</v>
      </c>
      <c r="D9" t="s">
        <v>42</v>
      </c>
      <c r="E9" t="s">
        <v>5</v>
      </c>
      <c r="F9" t="s">
        <v>43</v>
      </c>
      <c r="G9">
        <v>9</v>
      </c>
      <c r="H9">
        <v>1</v>
      </c>
      <c r="I9">
        <v>9</v>
      </c>
      <c r="J9" t="s">
        <v>29</v>
      </c>
      <c r="K9" t="s">
        <v>6</v>
      </c>
      <c r="M9" t="s">
        <v>6</v>
      </c>
      <c r="S9" t="s">
        <v>36</v>
      </c>
      <c r="T9">
        <v>3.6335555610386303E-2</v>
      </c>
      <c r="U9" t="s">
        <v>14</v>
      </c>
      <c r="V9" t="s">
        <v>6</v>
      </c>
      <c r="W9" t="s">
        <v>6</v>
      </c>
      <c r="X9" t="s">
        <v>6</v>
      </c>
      <c r="Y9" t="s">
        <v>31</v>
      </c>
      <c r="Z9" s="10" t="s">
        <v>496</v>
      </c>
    </row>
    <row r="10" spans="1:26" x14ac:dyDescent="0.2">
      <c r="A10" t="s">
        <v>44</v>
      </c>
      <c r="B10" s="9">
        <f t="shared" si="0"/>
        <v>9</v>
      </c>
      <c r="C10" t="s">
        <v>45</v>
      </c>
      <c r="D10" t="s">
        <v>46</v>
      </c>
      <c r="E10" t="s">
        <v>5</v>
      </c>
      <c r="F10" t="s">
        <v>47</v>
      </c>
      <c r="G10">
        <v>9</v>
      </c>
      <c r="H10">
        <v>1</v>
      </c>
      <c r="I10">
        <v>9</v>
      </c>
      <c r="J10" t="s">
        <v>29</v>
      </c>
      <c r="K10" t="s">
        <v>6</v>
      </c>
      <c r="M10" t="s">
        <v>6</v>
      </c>
      <c r="S10" t="s">
        <v>48</v>
      </c>
      <c r="T10">
        <v>8.7250415623694594E-3</v>
      </c>
      <c r="U10" t="s">
        <v>14</v>
      </c>
      <c r="V10" t="s">
        <v>6</v>
      </c>
      <c r="W10" t="s">
        <v>6</v>
      </c>
      <c r="X10" t="s">
        <v>6</v>
      </c>
      <c r="Y10" t="s">
        <v>31</v>
      </c>
      <c r="Z10" s="10" t="s">
        <v>496</v>
      </c>
    </row>
    <row r="11" spans="1:26" x14ac:dyDescent="0.2">
      <c r="A11" t="s">
        <v>49</v>
      </c>
      <c r="B11" s="9">
        <f t="shared" si="0"/>
        <v>9</v>
      </c>
      <c r="C11" t="s">
        <v>45</v>
      </c>
      <c r="D11" t="s">
        <v>50</v>
      </c>
      <c r="E11" t="s">
        <v>5</v>
      </c>
      <c r="F11" t="s">
        <v>51</v>
      </c>
      <c r="G11">
        <v>9</v>
      </c>
      <c r="H11">
        <v>1</v>
      </c>
      <c r="I11">
        <v>9</v>
      </c>
      <c r="J11" t="s">
        <v>29</v>
      </c>
      <c r="K11" t="s">
        <v>6</v>
      </c>
      <c r="M11" t="s">
        <v>6</v>
      </c>
      <c r="S11" t="s">
        <v>48</v>
      </c>
      <c r="T11">
        <v>8.0196126327386E-2</v>
      </c>
      <c r="U11" t="s">
        <v>14</v>
      </c>
      <c r="V11" t="s">
        <v>6</v>
      </c>
      <c r="W11" t="s">
        <v>6</v>
      </c>
      <c r="X11" t="s">
        <v>6</v>
      </c>
      <c r="Y11" t="s">
        <v>37</v>
      </c>
      <c r="Z11" s="10" t="s">
        <v>496</v>
      </c>
    </row>
    <row r="12" spans="1:26" x14ac:dyDescent="0.2">
      <c r="A12" t="s">
        <v>52</v>
      </c>
      <c r="B12" s="9">
        <f t="shared" si="0"/>
        <v>9</v>
      </c>
      <c r="C12" t="s">
        <v>53</v>
      </c>
      <c r="D12" t="s">
        <v>54</v>
      </c>
      <c r="E12" t="s">
        <v>5</v>
      </c>
      <c r="F12" t="s">
        <v>55</v>
      </c>
      <c r="G12">
        <v>9</v>
      </c>
      <c r="H12">
        <v>1</v>
      </c>
      <c r="I12">
        <v>9</v>
      </c>
      <c r="J12" t="s">
        <v>29</v>
      </c>
      <c r="K12" t="s">
        <v>6</v>
      </c>
      <c r="M12" t="s">
        <v>6</v>
      </c>
      <c r="S12" t="s">
        <v>56</v>
      </c>
      <c r="T12">
        <v>0.54165212710482302</v>
      </c>
      <c r="U12" t="s">
        <v>14</v>
      </c>
      <c r="V12" t="s">
        <v>6</v>
      </c>
      <c r="W12" t="s">
        <v>6</v>
      </c>
      <c r="X12" t="s">
        <v>6</v>
      </c>
      <c r="Y12" t="s">
        <v>31</v>
      </c>
      <c r="Z12" s="10" t="s">
        <v>496</v>
      </c>
    </row>
    <row r="13" spans="1:26" x14ac:dyDescent="0.2">
      <c r="A13" t="s">
        <v>57</v>
      </c>
      <c r="B13" s="9">
        <f t="shared" si="0"/>
        <v>9</v>
      </c>
      <c r="C13" t="s">
        <v>58</v>
      </c>
      <c r="D13" t="s">
        <v>59</v>
      </c>
      <c r="E13" t="s">
        <v>5</v>
      </c>
      <c r="F13" t="s">
        <v>60</v>
      </c>
      <c r="G13">
        <v>9</v>
      </c>
      <c r="H13">
        <v>1</v>
      </c>
      <c r="I13">
        <v>9</v>
      </c>
      <c r="J13" t="s">
        <v>61</v>
      </c>
      <c r="K13" t="s">
        <v>6</v>
      </c>
      <c r="M13" t="s">
        <v>6</v>
      </c>
      <c r="S13" t="s">
        <v>62</v>
      </c>
      <c r="T13">
        <v>0</v>
      </c>
      <c r="U13" t="s">
        <v>14</v>
      </c>
      <c r="V13" t="s">
        <v>6</v>
      </c>
      <c r="W13" t="s">
        <v>6</v>
      </c>
      <c r="X13" t="s">
        <v>6</v>
      </c>
      <c r="Y13" t="s">
        <v>31</v>
      </c>
      <c r="Z13" s="10" t="s">
        <v>496</v>
      </c>
    </row>
    <row r="14" spans="1:26" x14ac:dyDescent="0.2">
      <c r="A14" t="s">
        <v>63</v>
      </c>
      <c r="B14" s="9">
        <f t="shared" si="0"/>
        <v>9</v>
      </c>
      <c r="C14" t="s">
        <v>58</v>
      </c>
      <c r="D14" t="s">
        <v>64</v>
      </c>
      <c r="E14" t="s">
        <v>5</v>
      </c>
      <c r="F14" t="s">
        <v>65</v>
      </c>
      <c r="G14">
        <v>9</v>
      </c>
      <c r="H14">
        <v>1</v>
      </c>
      <c r="I14">
        <v>9</v>
      </c>
      <c r="J14" t="s">
        <v>61</v>
      </c>
      <c r="K14" t="s">
        <v>6</v>
      </c>
      <c r="M14" t="s">
        <v>6</v>
      </c>
      <c r="S14" t="s">
        <v>62</v>
      </c>
      <c r="T14">
        <v>0</v>
      </c>
      <c r="U14" t="s">
        <v>14</v>
      </c>
      <c r="V14" t="s">
        <v>6</v>
      </c>
      <c r="W14" t="s">
        <v>6</v>
      </c>
      <c r="X14" t="s">
        <v>6</v>
      </c>
      <c r="Y14" t="s">
        <v>31</v>
      </c>
      <c r="Z14" s="10" t="s">
        <v>496</v>
      </c>
    </row>
    <row r="15" spans="1:26" x14ac:dyDescent="0.2">
      <c r="A15" t="s">
        <v>66</v>
      </c>
      <c r="B15" s="9">
        <f t="shared" si="0"/>
        <v>9</v>
      </c>
      <c r="C15" t="s">
        <v>58</v>
      </c>
      <c r="D15" t="s">
        <v>67</v>
      </c>
      <c r="E15" t="s">
        <v>5</v>
      </c>
      <c r="F15" t="s">
        <v>68</v>
      </c>
      <c r="G15">
        <v>9</v>
      </c>
      <c r="H15">
        <v>1</v>
      </c>
      <c r="I15">
        <v>9</v>
      </c>
      <c r="J15" t="s">
        <v>61</v>
      </c>
      <c r="K15" t="s">
        <v>6</v>
      </c>
      <c r="M15" t="s">
        <v>6</v>
      </c>
      <c r="S15" t="s">
        <v>62</v>
      </c>
      <c r="T15">
        <v>0</v>
      </c>
      <c r="U15" t="s">
        <v>14</v>
      </c>
      <c r="V15" t="s">
        <v>6</v>
      </c>
      <c r="W15" t="s">
        <v>6</v>
      </c>
      <c r="X15" t="s">
        <v>6</v>
      </c>
      <c r="Y15" t="s">
        <v>31</v>
      </c>
      <c r="Z15" s="10" t="s">
        <v>496</v>
      </c>
    </row>
    <row r="16" spans="1:26" x14ac:dyDescent="0.2">
      <c r="A16" t="s">
        <v>69</v>
      </c>
      <c r="B16" s="9">
        <f t="shared" si="0"/>
        <v>9</v>
      </c>
      <c r="C16" t="s">
        <v>58</v>
      </c>
      <c r="D16" t="s">
        <v>70</v>
      </c>
      <c r="E16" t="s">
        <v>5</v>
      </c>
      <c r="F16" t="s">
        <v>71</v>
      </c>
      <c r="G16">
        <v>9</v>
      </c>
      <c r="H16">
        <v>1</v>
      </c>
      <c r="I16">
        <v>9</v>
      </c>
      <c r="J16" t="s">
        <v>61</v>
      </c>
      <c r="K16" t="s">
        <v>6</v>
      </c>
      <c r="M16" t="s">
        <v>6</v>
      </c>
      <c r="S16" t="s">
        <v>62</v>
      </c>
      <c r="T16">
        <v>0</v>
      </c>
      <c r="U16" t="s">
        <v>14</v>
      </c>
      <c r="V16" t="s">
        <v>6</v>
      </c>
      <c r="W16" t="s">
        <v>6</v>
      </c>
      <c r="X16" t="s">
        <v>6</v>
      </c>
      <c r="Y16" t="s">
        <v>31</v>
      </c>
      <c r="Z16" s="10" t="s">
        <v>496</v>
      </c>
    </row>
    <row r="17" spans="1:26" x14ac:dyDescent="0.2">
      <c r="A17" t="s">
        <v>72</v>
      </c>
      <c r="B17" s="9">
        <f t="shared" si="0"/>
        <v>9</v>
      </c>
      <c r="C17" t="s">
        <v>58</v>
      </c>
      <c r="D17" t="s">
        <v>73</v>
      </c>
      <c r="E17" t="s">
        <v>5</v>
      </c>
      <c r="F17" t="s">
        <v>74</v>
      </c>
      <c r="G17">
        <v>9</v>
      </c>
      <c r="H17">
        <v>1</v>
      </c>
      <c r="I17">
        <v>9</v>
      </c>
      <c r="J17" t="s">
        <v>61</v>
      </c>
      <c r="K17" t="s">
        <v>6</v>
      </c>
      <c r="M17" t="s">
        <v>6</v>
      </c>
      <c r="S17" t="s">
        <v>62</v>
      </c>
      <c r="T17">
        <v>0</v>
      </c>
      <c r="U17" t="s">
        <v>14</v>
      </c>
      <c r="V17" t="s">
        <v>6</v>
      </c>
      <c r="W17" t="s">
        <v>6</v>
      </c>
      <c r="X17" t="s">
        <v>6</v>
      </c>
      <c r="Y17" t="s">
        <v>31</v>
      </c>
      <c r="Z17" s="10" t="s">
        <v>496</v>
      </c>
    </row>
    <row r="18" spans="1:26" x14ac:dyDescent="0.2">
      <c r="A18" t="s">
        <v>75</v>
      </c>
      <c r="B18" s="9">
        <f t="shared" si="0"/>
        <v>9</v>
      </c>
      <c r="C18" t="s">
        <v>58</v>
      </c>
      <c r="D18" t="s">
        <v>76</v>
      </c>
      <c r="E18" t="s">
        <v>5</v>
      </c>
      <c r="F18" t="s">
        <v>77</v>
      </c>
      <c r="G18">
        <v>9</v>
      </c>
      <c r="H18">
        <v>1</v>
      </c>
      <c r="I18">
        <v>9</v>
      </c>
      <c r="J18" t="s">
        <v>61</v>
      </c>
      <c r="K18" t="s">
        <v>6</v>
      </c>
      <c r="M18" t="s">
        <v>6</v>
      </c>
      <c r="S18" t="s">
        <v>62</v>
      </c>
      <c r="T18">
        <v>0</v>
      </c>
      <c r="U18" t="s">
        <v>14</v>
      </c>
      <c r="V18" t="s">
        <v>6</v>
      </c>
      <c r="W18" t="s">
        <v>6</v>
      </c>
      <c r="X18" t="s">
        <v>6</v>
      </c>
      <c r="Y18" t="s">
        <v>31</v>
      </c>
      <c r="Z18" s="10" t="s">
        <v>496</v>
      </c>
    </row>
    <row r="19" spans="1:26" x14ac:dyDescent="0.2">
      <c r="A19" t="s">
        <v>78</v>
      </c>
      <c r="B19" s="9">
        <f t="shared" si="0"/>
        <v>9</v>
      </c>
      <c r="C19" t="s">
        <v>58</v>
      </c>
      <c r="D19" t="s">
        <v>79</v>
      </c>
      <c r="E19" t="s">
        <v>5</v>
      </c>
      <c r="F19" t="s">
        <v>80</v>
      </c>
      <c r="G19">
        <v>9</v>
      </c>
      <c r="H19">
        <v>1</v>
      </c>
      <c r="I19">
        <v>9</v>
      </c>
      <c r="J19" t="s">
        <v>61</v>
      </c>
      <c r="K19" t="s">
        <v>6</v>
      </c>
      <c r="M19" t="s">
        <v>6</v>
      </c>
      <c r="S19" t="s">
        <v>62</v>
      </c>
      <c r="T19">
        <v>0</v>
      </c>
      <c r="U19" t="s">
        <v>14</v>
      </c>
      <c r="V19" t="s">
        <v>6</v>
      </c>
      <c r="W19" t="s">
        <v>6</v>
      </c>
      <c r="X19" t="s">
        <v>6</v>
      </c>
      <c r="Y19" t="s">
        <v>31</v>
      </c>
      <c r="Z19" s="10" t="s">
        <v>496</v>
      </c>
    </row>
    <row r="20" spans="1:26" x14ac:dyDescent="0.2">
      <c r="A20" t="s">
        <v>81</v>
      </c>
      <c r="B20" s="9">
        <f t="shared" si="0"/>
        <v>9</v>
      </c>
      <c r="C20" t="s">
        <v>58</v>
      </c>
      <c r="D20" t="s">
        <v>82</v>
      </c>
      <c r="E20" t="s">
        <v>5</v>
      </c>
      <c r="F20" t="s">
        <v>83</v>
      </c>
      <c r="G20">
        <v>9</v>
      </c>
      <c r="H20">
        <v>1</v>
      </c>
      <c r="I20">
        <v>9</v>
      </c>
      <c r="J20" t="s">
        <v>61</v>
      </c>
      <c r="K20" t="s">
        <v>6</v>
      </c>
      <c r="M20" t="s">
        <v>6</v>
      </c>
      <c r="S20" t="s">
        <v>62</v>
      </c>
      <c r="T20">
        <v>0</v>
      </c>
      <c r="U20" t="s">
        <v>14</v>
      </c>
      <c r="V20" t="s">
        <v>6</v>
      </c>
      <c r="W20" t="s">
        <v>6</v>
      </c>
      <c r="X20" t="s">
        <v>6</v>
      </c>
      <c r="Y20" t="s">
        <v>31</v>
      </c>
      <c r="Z20" s="10" t="s">
        <v>496</v>
      </c>
    </row>
    <row r="21" spans="1:26" x14ac:dyDescent="0.2">
      <c r="A21" t="s">
        <v>84</v>
      </c>
      <c r="B21" s="9">
        <f t="shared" si="0"/>
        <v>9</v>
      </c>
      <c r="C21" t="s">
        <v>58</v>
      </c>
      <c r="D21" t="s">
        <v>85</v>
      </c>
      <c r="E21" t="s">
        <v>5</v>
      </c>
      <c r="F21" t="s">
        <v>86</v>
      </c>
      <c r="G21">
        <v>9</v>
      </c>
      <c r="H21">
        <v>1</v>
      </c>
      <c r="I21">
        <v>9</v>
      </c>
      <c r="J21" t="s">
        <v>61</v>
      </c>
      <c r="K21" t="s">
        <v>6</v>
      </c>
      <c r="M21" t="s">
        <v>6</v>
      </c>
      <c r="S21" t="s">
        <v>62</v>
      </c>
      <c r="T21">
        <v>0</v>
      </c>
      <c r="U21" t="s">
        <v>14</v>
      </c>
      <c r="V21" t="s">
        <v>6</v>
      </c>
      <c r="W21" t="s">
        <v>6</v>
      </c>
      <c r="X21" t="s">
        <v>6</v>
      </c>
      <c r="Y21" t="s">
        <v>31</v>
      </c>
      <c r="Z21" s="10" t="s">
        <v>496</v>
      </c>
    </row>
    <row r="22" spans="1:26" x14ac:dyDescent="0.2">
      <c r="A22" t="s">
        <v>87</v>
      </c>
      <c r="B22" s="9">
        <f t="shared" si="0"/>
        <v>9</v>
      </c>
      <c r="C22" t="s">
        <v>58</v>
      </c>
      <c r="D22" t="s">
        <v>88</v>
      </c>
      <c r="E22" t="s">
        <v>5</v>
      </c>
      <c r="F22" t="s">
        <v>89</v>
      </c>
      <c r="G22">
        <v>9</v>
      </c>
      <c r="H22">
        <v>1</v>
      </c>
      <c r="I22">
        <v>9</v>
      </c>
      <c r="J22" t="s">
        <v>61</v>
      </c>
      <c r="K22" t="s">
        <v>6</v>
      </c>
      <c r="M22" t="s">
        <v>6</v>
      </c>
      <c r="S22" t="s">
        <v>62</v>
      </c>
      <c r="T22">
        <v>0</v>
      </c>
      <c r="U22" t="s">
        <v>14</v>
      </c>
      <c r="V22" t="s">
        <v>6</v>
      </c>
      <c r="W22" t="s">
        <v>6</v>
      </c>
      <c r="X22" t="s">
        <v>6</v>
      </c>
      <c r="Y22" t="s">
        <v>31</v>
      </c>
      <c r="Z22" s="10" t="s">
        <v>496</v>
      </c>
    </row>
    <row r="23" spans="1:26" x14ac:dyDescent="0.2">
      <c r="A23" t="s">
        <v>90</v>
      </c>
      <c r="B23" s="9">
        <f t="shared" si="0"/>
        <v>9</v>
      </c>
      <c r="C23" t="s">
        <v>58</v>
      </c>
      <c r="D23" t="s">
        <v>91</v>
      </c>
      <c r="E23" t="s">
        <v>5</v>
      </c>
      <c r="F23" t="s">
        <v>92</v>
      </c>
      <c r="G23">
        <v>9</v>
      </c>
      <c r="H23">
        <v>1</v>
      </c>
      <c r="I23">
        <v>9</v>
      </c>
      <c r="J23" t="s">
        <v>61</v>
      </c>
      <c r="K23" t="s">
        <v>6</v>
      </c>
      <c r="M23" t="s">
        <v>6</v>
      </c>
      <c r="S23" t="s">
        <v>62</v>
      </c>
      <c r="T23">
        <v>0</v>
      </c>
      <c r="U23" t="s">
        <v>14</v>
      </c>
      <c r="V23" t="s">
        <v>6</v>
      </c>
      <c r="W23" t="s">
        <v>6</v>
      </c>
      <c r="X23" t="s">
        <v>6</v>
      </c>
      <c r="Y23" t="s">
        <v>31</v>
      </c>
      <c r="Z23" s="10" t="s">
        <v>496</v>
      </c>
    </row>
    <row r="24" spans="1:26" x14ac:dyDescent="0.2">
      <c r="A24" t="s">
        <v>93</v>
      </c>
      <c r="B24" s="9">
        <f t="shared" si="0"/>
        <v>9</v>
      </c>
      <c r="C24" t="s">
        <v>58</v>
      </c>
      <c r="D24" t="s">
        <v>94</v>
      </c>
      <c r="E24" t="s">
        <v>5</v>
      </c>
      <c r="F24" t="s">
        <v>95</v>
      </c>
      <c r="G24">
        <v>9</v>
      </c>
      <c r="H24">
        <v>1</v>
      </c>
      <c r="I24">
        <v>9</v>
      </c>
      <c r="J24" t="s">
        <v>61</v>
      </c>
      <c r="K24" t="s">
        <v>6</v>
      </c>
      <c r="M24" t="s">
        <v>6</v>
      </c>
      <c r="S24" t="s">
        <v>62</v>
      </c>
      <c r="T24">
        <v>0</v>
      </c>
      <c r="U24" t="s">
        <v>14</v>
      </c>
      <c r="V24" t="s">
        <v>6</v>
      </c>
      <c r="W24" t="s">
        <v>6</v>
      </c>
      <c r="X24" t="s">
        <v>6</v>
      </c>
      <c r="Y24" t="s">
        <v>31</v>
      </c>
      <c r="Z24" s="10" t="s">
        <v>496</v>
      </c>
    </row>
    <row r="25" spans="1:26" x14ac:dyDescent="0.2">
      <c r="A25" t="s">
        <v>96</v>
      </c>
      <c r="B25" s="9">
        <f t="shared" si="0"/>
        <v>9</v>
      </c>
      <c r="C25" t="s">
        <v>58</v>
      </c>
      <c r="D25" t="s">
        <v>97</v>
      </c>
      <c r="E25" t="s">
        <v>5</v>
      </c>
      <c r="F25" t="s">
        <v>98</v>
      </c>
      <c r="G25">
        <v>9</v>
      </c>
      <c r="H25">
        <v>1</v>
      </c>
      <c r="I25">
        <v>9</v>
      </c>
      <c r="J25" t="s">
        <v>61</v>
      </c>
      <c r="K25" t="s">
        <v>6</v>
      </c>
      <c r="M25" t="s">
        <v>6</v>
      </c>
      <c r="S25" t="s">
        <v>62</v>
      </c>
      <c r="T25">
        <v>0</v>
      </c>
      <c r="U25" t="s">
        <v>14</v>
      </c>
      <c r="V25" t="s">
        <v>6</v>
      </c>
      <c r="W25" t="s">
        <v>6</v>
      </c>
      <c r="X25" t="s">
        <v>6</v>
      </c>
      <c r="Y25" t="s">
        <v>31</v>
      </c>
      <c r="Z25" s="10" t="s">
        <v>496</v>
      </c>
    </row>
    <row r="26" spans="1:26" x14ac:dyDescent="0.2">
      <c r="A26" t="s">
        <v>99</v>
      </c>
      <c r="B26" s="9">
        <f t="shared" si="0"/>
        <v>9</v>
      </c>
      <c r="C26" t="s">
        <v>58</v>
      </c>
      <c r="D26" t="s">
        <v>100</v>
      </c>
      <c r="E26" t="s">
        <v>5</v>
      </c>
      <c r="F26" t="s">
        <v>101</v>
      </c>
      <c r="G26">
        <v>9</v>
      </c>
      <c r="H26">
        <v>1</v>
      </c>
      <c r="I26">
        <v>9</v>
      </c>
      <c r="J26" t="s">
        <v>61</v>
      </c>
      <c r="K26" t="s">
        <v>6</v>
      </c>
      <c r="M26" t="s">
        <v>6</v>
      </c>
      <c r="S26" t="s">
        <v>62</v>
      </c>
      <c r="T26">
        <v>0</v>
      </c>
      <c r="U26" t="s">
        <v>14</v>
      </c>
      <c r="V26" t="s">
        <v>6</v>
      </c>
      <c r="W26" t="s">
        <v>6</v>
      </c>
      <c r="X26" t="s">
        <v>6</v>
      </c>
      <c r="Y26" t="s">
        <v>31</v>
      </c>
      <c r="Z26" s="10" t="s">
        <v>496</v>
      </c>
    </row>
    <row r="27" spans="1:26" x14ac:dyDescent="0.2">
      <c r="A27" t="s">
        <v>102</v>
      </c>
      <c r="B27" s="9">
        <f t="shared" si="0"/>
        <v>9</v>
      </c>
      <c r="C27" t="s">
        <v>58</v>
      </c>
      <c r="D27" t="s">
        <v>103</v>
      </c>
      <c r="E27" t="s">
        <v>5</v>
      </c>
      <c r="F27" t="s">
        <v>104</v>
      </c>
      <c r="G27">
        <v>9</v>
      </c>
      <c r="H27">
        <v>1</v>
      </c>
      <c r="I27">
        <v>9</v>
      </c>
      <c r="J27" t="s">
        <v>61</v>
      </c>
      <c r="K27" t="s">
        <v>6</v>
      </c>
      <c r="M27" t="s">
        <v>6</v>
      </c>
      <c r="S27" t="s">
        <v>62</v>
      </c>
      <c r="T27">
        <v>0</v>
      </c>
      <c r="U27" t="s">
        <v>14</v>
      </c>
      <c r="V27" t="s">
        <v>6</v>
      </c>
      <c r="W27" t="s">
        <v>6</v>
      </c>
      <c r="X27" t="s">
        <v>6</v>
      </c>
      <c r="Y27" t="s">
        <v>31</v>
      </c>
      <c r="Z27" s="10" t="s">
        <v>496</v>
      </c>
    </row>
    <row r="28" spans="1:26" x14ac:dyDescent="0.2">
      <c r="A28" t="s">
        <v>105</v>
      </c>
      <c r="B28" s="9">
        <f t="shared" si="0"/>
        <v>9</v>
      </c>
      <c r="C28" t="s">
        <v>58</v>
      </c>
      <c r="D28" t="s">
        <v>106</v>
      </c>
      <c r="E28" t="s">
        <v>5</v>
      </c>
      <c r="F28" t="s">
        <v>107</v>
      </c>
      <c r="G28">
        <v>9</v>
      </c>
      <c r="H28">
        <v>1</v>
      </c>
      <c r="I28">
        <v>9</v>
      </c>
      <c r="J28" t="s">
        <v>61</v>
      </c>
      <c r="K28" t="s">
        <v>6</v>
      </c>
      <c r="M28" t="s">
        <v>6</v>
      </c>
      <c r="S28" t="s">
        <v>62</v>
      </c>
      <c r="T28">
        <v>0</v>
      </c>
      <c r="U28" t="s">
        <v>14</v>
      </c>
      <c r="V28" t="s">
        <v>6</v>
      </c>
      <c r="W28" t="s">
        <v>6</v>
      </c>
      <c r="X28" t="s">
        <v>6</v>
      </c>
      <c r="Y28" t="s">
        <v>31</v>
      </c>
      <c r="Z28" s="10" t="s">
        <v>496</v>
      </c>
    </row>
    <row r="29" spans="1:26" x14ac:dyDescent="0.2">
      <c r="A29" t="s">
        <v>108</v>
      </c>
      <c r="B29" s="9">
        <f t="shared" si="0"/>
        <v>9</v>
      </c>
      <c r="C29" t="s">
        <v>58</v>
      </c>
      <c r="D29" t="s">
        <v>109</v>
      </c>
      <c r="E29" t="s">
        <v>5</v>
      </c>
      <c r="F29" t="s">
        <v>110</v>
      </c>
      <c r="G29">
        <v>9</v>
      </c>
      <c r="H29">
        <v>1</v>
      </c>
      <c r="I29">
        <v>9</v>
      </c>
      <c r="J29" t="s">
        <v>61</v>
      </c>
      <c r="K29" t="s">
        <v>6</v>
      </c>
      <c r="M29" t="s">
        <v>6</v>
      </c>
      <c r="S29" t="s">
        <v>62</v>
      </c>
      <c r="T29">
        <v>0</v>
      </c>
      <c r="U29" t="s">
        <v>14</v>
      </c>
      <c r="V29" t="s">
        <v>6</v>
      </c>
      <c r="W29" t="s">
        <v>6</v>
      </c>
      <c r="X29" t="s">
        <v>6</v>
      </c>
      <c r="Y29" t="s">
        <v>31</v>
      </c>
      <c r="Z29" s="10" t="s">
        <v>496</v>
      </c>
    </row>
    <row r="30" spans="1:26" x14ac:dyDescent="0.2">
      <c r="A30" t="s">
        <v>111</v>
      </c>
      <c r="B30" s="9">
        <f t="shared" si="0"/>
        <v>9</v>
      </c>
      <c r="C30" t="s">
        <v>58</v>
      </c>
      <c r="D30" t="s">
        <v>112</v>
      </c>
      <c r="E30" t="s">
        <v>5</v>
      </c>
      <c r="F30" t="s">
        <v>113</v>
      </c>
      <c r="G30">
        <v>9</v>
      </c>
      <c r="H30">
        <v>1</v>
      </c>
      <c r="I30">
        <v>9</v>
      </c>
      <c r="J30" t="s">
        <v>61</v>
      </c>
      <c r="K30" t="s">
        <v>6</v>
      </c>
      <c r="M30" t="s">
        <v>6</v>
      </c>
      <c r="S30" t="s">
        <v>62</v>
      </c>
      <c r="T30">
        <v>0</v>
      </c>
      <c r="U30" t="s">
        <v>14</v>
      </c>
      <c r="V30" t="s">
        <v>6</v>
      </c>
      <c r="W30" t="s">
        <v>6</v>
      </c>
      <c r="X30" t="s">
        <v>6</v>
      </c>
      <c r="Y30" t="s">
        <v>31</v>
      </c>
      <c r="Z30" s="10" t="s">
        <v>496</v>
      </c>
    </row>
    <row r="31" spans="1:26" x14ac:dyDescent="0.2">
      <c r="A31" t="s">
        <v>114</v>
      </c>
      <c r="B31" s="9">
        <f t="shared" si="0"/>
        <v>9</v>
      </c>
      <c r="C31" t="s">
        <v>58</v>
      </c>
      <c r="D31" t="s">
        <v>115</v>
      </c>
      <c r="E31" t="s">
        <v>5</v>
      </c>
      <c r="F31" t="s">
        <v>116</v>
      </c>
      <c r="G31">
        <v>9</v>
      </c>
      <c r="H31">
        <v>1</v>
      </c>
      <c r="I31">
        <v>9</v>
      </c>
      <c r="J31" t="s">
        <v>61</v>
      </c>
      <c r="K31" t="s">
        <v>6</v>
      </c>
      <c r="M31" t="s">
        <v>6</v>
      </c>
      <c r="S31" t="s">
        <v>62</v>
      </c>
      <c r="T31">
        <v>0</v>
      </c>
      <c r="U31" t="s">
        <v>14</v>
      </c>
      <c r="V31" t="s">
        <v>6</v>
      </c>
      <c r="W31" t="s">
        <v>6</v>
      </c>
      <c r="X31" t="s">
        <v>6</v>
      </c>
      <c r="Y31" t="s">
        <v>31</v>
      </c>
      <c r="Z31" s="10" t="s">
        <v>496</v>
      </c>
    </row>
    <row r="32" spans="1:26" x14ac:dyDescent="0.2">
      <c r="A32" t="s">
        <v>117</v>
      </c>
      <c r="B32" s="9">
        <f t="shared" si="0"/>
        <v>9</v>
      </c>
      <c r="C32" t="s">
        <v>58</v>
      </c>
      <c r="D32" t="s">
        <v>118</v>
      </c>
      <c r="E32" t="s">
        <v>5</v>
      </c>
      <c r="F32" t="s">
        <v>119</v>
      </c>
      <c r="G32">
        <v>9</v>
      </c>
      <c r="H32">
        <v>1</v>
      </c>
      <c r="I32">
        <v>9</v>
      </c>
      <c r="J32" t="s">
        <v>61</v>
      </c>
      <c r="K32" t="s">
        <v>6</v>
      </c>
      <c r="M32" t="s">
        <v>6</v>
      </c>
      <c r="S32" t="s">
        <v>62</v>
      </c>
      <c r="T32">
        <v>0</v>
      </c>
      <c r="U32" t="s">
        <v>14</v>
      </c>
      <c r="V32" t="s">
        <v>6</v>
      </c>
      <c r="W32" t="s">
        <v>6</v>
      </c>
      <c r="X32" t="s">
        <v>6</v>
      </c>
      <c r="Y32" t="s">
        <v>31</v>
      </c>
      <c r="Z32" s="10" t="s">
        <v>496</v>
      </c>
    </row>
    <row r="33" spans="1:26" x14ac:dyDescent="0.2">
      <c r="A33" t="s">
        <v>120</v>
      </c>
      <c r="B33" s="9">
        <f t="shared" si="0"/>
        <v>9</v>
      </c>
      <c r="C33" t="s">
        <v>58</v>
      </c>
      <c r="D33" t="s">
        <v>121</v>
      </c>
      <c r="E33" t="s">
        <v>5</v>
      </c>
      <c r="F33" t="s">
        <v>122</v>
      </c>
      <c r="G33">
        <v>9</v>
      </c>
      <c r="H33">
        <v>1</v>
      </c>
      <c r="I33">
        <v>9</v>
      </c>
      <c r="J33" t="s">
        <v>61</v>
      </c>
      <c r="K33" t="s">
        <v>6</v>
      </c>
      <c r="M33" t="s">
        <v>6</v>
      </c>
      <c r="S33" t="s">
        <v>62</v>
      </c>
      <c r="T33">
        <v>0</v>
      </c>
      <c r="U33" t="s">
        <v>14</v>
      </c>
      <c r="V33" t="s">
        <v>6</v>
      </c>
      <c r="W33" t="s">
        <v>6</v>
      </c>
      <c r="X33" t="s">
        <v>6</v>
      </c>
      <c r="Y33" t="s">
        <v>31</v>
      </c>
      <c r="Z33" s="10" t="s">
        <v>496</v>
      </c>
    </row>
    <row r="34" spans="1:26" x14ac:dyDescent="0.2">
      <c r="A34" t="s">
        <v>123</v>
      </c>
      <c r="B34" s="9">
        <f t="shared" si="0"/>
        <v>9</v>
      </c>
      <c r="C34" t="s">
        <v>58</v>
      </c>
      <c r="D34" t="s">
        <v>124</v>
      </c>
      <c r="E34" t="s">
        <v>5</v>
      </c>
      <c r="F34" t="s">
        <v>125</v>
      </c>
      <c r="G34">
        <v>9</v>
      </c>
      <c r="H34">
        <v>1</v>
      </c>
      <c r="I34">
        <v>9</v>
      </c>
      <c r="J34" t="s">
        <v>61</v>
      </c>
      <c r="K34" t="s">
        <v>6</v>
      </c>
      <c r="M34" t="s">
        <v>6</v>
      </c>
      <c r="S34" t="s">
        <v>62</v>
      </c>
      <c r="T34">
        <v>0</v>
      </c>
      <c r="U34" t="s">
        <v>14</v>
      </c>
      <c r="V34" t="s">
        <v>6</v>
      </c>
      <c r="W34" t="s">
        <v>6</v>
      </c>
      <c r="X34" t="s">
        <v>6</v>
      </c>
      <c r="Y34" t="s">
        <v>31</v>
      </c>
      <c r="Z34" s="10" t="s">
        <v>496</v>
      </c>
    </row>
    <row r="35" spans="1:26" x14ac:dyDescent="0.2">
      <c r="A35" t="s">
        <v>126</v>
      </c>
      <c r="B35" s="9">
        <f t="shared" si="0"/>
        <v>9</v>
      </c>
      <c r="C35" t="s">
        <v>58</v>
      </c>
      <c r="D35" t="s">
        <v>127</v>
      </c>
      <c r="E35" t="s">
        <v>5</v>
      </c>
      <c r="F35" t="s">
        <v>128</v>
      </c>
      <c r="G35">
        <v>9</v>
      </c>
      <c r="H35">
        <v>1</v>
      </c>
      <c r="I35">
        <v>9</v>
      </c>
      <c r="J35" t="s">
        <v>61</v>
      </c>
      <c r="K35" t="s">
        <v>6</v>
      </c>
      <c r="M35" t="s">
        <v>6</v>
      </c>
      <c r="S35" t="s">
        <v>62</v>
      </c>
      <c r="T35">
        <v>0</v>
      </c>
      <c r="U35" t="s">
        <v>14</v>
      </c>
      <c r="V35" t="s">
        <v>6</v>
      </c>
      <c r="W35" t="s">
        <v>6</v>
      </c>
      <c r="X35" t="s">
        <v>6</v>
      </c>
      <c r="Y35" t="s">
        <v>31</v>
      </c>
      <c r="Z35" s="10" t="s">
        <v>496</v>
      </c>
    </row>
    <row r="36" spans="1:26" x14ac:dyDescent="0.2">
      <c r="A36" t="s">
        <v>129</v>
      </c>
      <c r="B36" s="9">
        <f t="shared" si="0"/>
        <v>9</v>
      </c>
      <c r="C36" t="s">
        <v>58</v>
      </c>
      <c r="D36" t="s">
        <v>130</v>
      </c>
      <c r="E36" t="s">
        <v>5</v>
      </c>
      <c r="F36" t="s">
        <v>125</v>
      </c>
      <c r="G36">
        <v>9</v>
      </c>
      <c r="H36">
        <v>1</v>
      </c>
      <c r="I36">
        <v>9</v>
      </c>
      <c r="J36" t="s">
        <v>61</v>
      </c>
      <c r="K36" t="s">
        <v>6</v>
      </c>
      <c r="M36" t="s">
        <v>6</v>
      </c>
      <c r="S36" t="s">
        <v>62</v>
      </c>
      <c r="T36">
        <v>0</v>
      </c>
      <c r="U36" t="s">
        <v>14</v>
      </c>
      <c r="V36" t="s">
        <v>6</v>
      </c>
      <c r="W36" t="s">
        <v>6</v>
      </c>
      <c r="X36" t="s">
        <v>6</v>
      </c>
      <c r="Y36" t="s">
        <v>31</v>
      </c>
      <c r="Z36" s="10" t="s">
        <v>496</v>
      </c>
    </row>
    <row r="37" spans="1:26" x14ac:dyDescent="0.2">
      <c r="A37" t="s">
        <v>131</v>
      </c>
      <c r="B37" s="9">
        <f t="shared" si="0"/>
        <v>9</v>
      </c>
      <c r="C37" t="s">
        <v>58</v>
      </c>
      <c r="D37" t="s">
        <v>132</v>
      </c>
      <c r="E37" t="s">
        <v>5</v>
      </c>
      <c r="F37" t="s">
        <v>133</v>
      </c>
      <c r="G37">
        <v>9</v>
      </c>
      <c r="H37">
        <v>1</v>
      </c>
      <c r="I37">
        <v>9</v>
      </c>
      <c r="J37" t="s">
        <v>61</v>
      </c>
      <c r="K37" t="s">
        <v>6</v>
      </c>
      <c r="M37" t="s">
        <v>6</v>
      </c>
      <c r="S37" t="s">
        <v>62</v>
      </c>
      <c r="T37">
        <v>0</v>
      </c>
      <c r="U37" t="s">
        <v>14</v>
      </c>
      <c r="V37" t="s">
        <v>6</v>
      </c>
      <c r="W37" t="s">
        <v>6</v>
      </c>
      <c r="X37" t="s">
        <v>6</v>
      </c>
      <c r="Y37" t="s">
        <v>31</v>
      </c>
      <c r="Z37" s="10" t="s">
        <v>496</v>
      </c>
    </row>
    <row r="38" spans="1:26" x14ac:dyDescent="0.2">
      <c r="A38" t="s">
        <v>134</v>
      </c>
      <c r="B38" s="9">
        <f t="shared" si="0"/>
        <v>9</v>
      </c>
      <c r="C38" t="s">
        <v>58</v>
      </c>
      <c r="D38" t="s">
        <v>135</v>
      </c>
      <c r="E38" t="s">
        <v>5</v>
      </c>
      <c r="F38" t="s">
        <v>136</v>
      </c>
      <c r="G38">
        <v>9</v>
      </c>
      <c r="H38">
        <v>1</v>
      </c>
      <c r="I38">
        <v>9</v>
      </c>
      <c r="J38" t="s">
        <v>61</v>
      </c>
      <c r="K38" t="s">
        <v>6</v>
      </c>
      <c r="M38" t="s">
        <v>6</v>
      </c>
      <c r="S38" t="s">
        <v>62</v>
      </c>
      <c r="T38">
        <v>0</v>
      </c>
      <c r="U38" t="s">
        <v>14</v>
      </c>
      <c r="V38" t="s">
        <v>6</v>
      </c>
      <c r="W38" t="s">
        <v>6</v>
      </c>
      <c r="X38" t="s">
        <v>6</v>
      </c>
      <c r="Y38" t="s">
        <v>31</v>
      </c>
      <c r="Z38" s="10" t="s">
        <v>496</v>
      </c>
    </row>
    <row r="39" spans="1:26" x14ac:dyDescent="0.2">
      <c r="A39" t="s">
        <v>137</v>
      </c>
      <c r="B39" s="9">
        <f t="shared" si="0"/>
        <v>9</v>
      </c>
      <c r="C39" t="s">
        <v>58</v>
      </c>
      <c r="D39" t="s">
        <v>138</v>
      </c>
      <c r="E39" t="s">
        <v>5</v>
      </c>
      <c r="F39" t="s">
        <v>125</v>
      </c>
      <c r="G39">
        <v>9</v>
      </c>
      <c r="H39">
        <v>1</v>
      </c>
      <c r="I39">
        <v>9</v>
      </c>
      <c r="J39" t="s">
        <v>61</v>
      </c>
      <c r="K39" t="s">
        <v>6</v>
      </c>
      <c r="M39" t="s">
        <v>6</v>
      </c>
      <c r="S39" t="s">
        <v>62</v>
      </c>
      <c r="T39">
        <v>1.9815798409688699E-2</v>
      </c>
      <c r="U39" t="s">
        <v>14</v>
      </c>
      <c r="V39" t="s">
        <v>6</v>
      </c>
      <c r="W39" t="s">
        <v>6</v>
      </c>
      <c r="X39" t="s">
        <v>6</v>
      </c>
      <c r="Y39" t="s">
        <v>31</v>
      </c>
      <c r="Z39" s="10" t="s">
        <v>496</v>
      </c>
    </row>
    <row r="40" spans="1:26" x14ac:dyDescent="0.2">
      <c r="A40" t="s">
        <v>139</v>
      </c>
      <c r="B40" s="9">
        <f t="shared" si="0"/>
        <v>9</v>
      </c>
      <c r="C40" t="s">
        <v>58</v>
      </c>
      <c r="D40" t="s">
        <v>140</v>
      </c>
      <c r="E40" t="s">
        <v>5</v>
      </c>
      <c r="F40" t="s">
        <v>141</v>
      </c>
      <c r="G40">
        <v>9</v>
      </c>
      <c r="H40">
        <v>1</v>
      </c>
      <c r="I40">
        <v>9</v>
      </c>
      <c r="J40" t="s">
        <v>61</v>
      </c>
      <c r="K40" t="s">
        <v>6</v>
      </c>
      <c r="M40" t="s">
        <v>6</v>
      </c>
      <c r="S40" t="s">
        <v>62</v>
      </c>
      <c r="T40">
        <v>0</v>
      </c>
      <c r="U40" t="s">
        <v>14</v>
      </c>
      <c r="V40" t="s">
        <v>6</v>
      </c>
      <c r="W40" t="s">
        <v>6</v>
      </c>
      <c r="X40" t="s">
        <v>6</v>
      </c>
      <c r="Y40" t="s">
        <v>31</v>
      </c>
      <c r="Z40" s="10" t="s">
        <v>496</v>
      </c>
    </row>
    <row r="41" spans="1:26" x14ac:dyDescent="0.2">
      <c r="A41" t="s">
        <v>142</v>
      </c>
      <c r="B41" s="9">
        <f t="shared" si="0"/>
        <v>9</v>
      </c>
      <c r="C41" t="s">
        <v>58</v>
      </c>
      <c r="D41" t="s">
        <v>143</v>
      </c>
      <c r="E41" t="s">
        <v>5</v>
      </c>
      <c r="F41" t="s">
        <v>125</v>
      </c>
      <c r="G41">
        <v>9</v>
      </c>
      <c r="H41">
        <v>1</v>
      </c>
      <c r="I41">
        <v>9</v>
      </c>
      <c r="J41" t="s">
        <v>61</v>
      </c>
      <c r="K41" t="s">
        <v>6</v>
      </c>
      <c r="M41" t="s">
        <v>6</v>
      </c>
      <c r="S41" t="s">
        <v>62</v>
      </c>
      <c r="T41">
        <v>0</v>
      </c>
      <c r="U41" t="s">
        <v>14</v>
      </c>
      <c r="V41" t="s">
        <v>6</v>
      </c>
      <c r="W41" t="s">
        <v>6</v>
      </c>
      <c r="X41" t="s">
        <v>6</v>
      </c>
      <c r="Y41" t="s">
        <v>31</v>
      </c>
      <c r="Z41" s="10" t="s">
        <v>496</v>
      </c>
    </row>
    <row r="42" spans="1:26" x14ac:dyDescent="0.2">
      <c r="A42" t="s">
        <v>144</v>
      </c>
      <c r="B42" s="9">
        <f t="shared" si="0"/>
        <v>1</v>
      </c>
      <c r="C42" t="s">
        <v>145</v>
      </c>
      <c r="D42" t="s">
        <v>146</v>
      </c>
      <c r="E42" t="s">
        <v>5</v>
      </c>
      <c r="F42" t="s">
        <v>147</v>
      </c>
      <c r="G42">
        <v>1</v>
      </c>
      <c r="H42">
        <v>1</v>
      </c>
      <c r="I42">
        <v>1</v>
      </c>
      <c r="J42" t="s">
        <v>148</v>
      </c>
      <c r="K42" t="s">
        <v>6</v>
      </c>
      <c r="M42" t="s">
        <v>6</v>
      </c>
      <c r="N42" t="s">
        <v>149</v>
      </c>
      <c r="O42" t="s">
        <v>150</v>
      </c>
      <c r="P42" t="s">
        <v>6</v>
      </c>
      <c r="Q42" t="s">
        <v>6</v>
      </c>
      <c r="R42" t="s">
        <v>6</v>
      </c>
      <c r="S42" t="s">
        <v>6</v>
      </c>
      <c r="T42">
        <v>2.2372970161867601E-4</v>
      </c>
      <c r="U42" t="s">
        <v>14</v>
      </c>
      <c r="V42" t="s">
        <v>6</v>
      </c>
      <c r="W42" t="s">
        <v>6</v>
      </c>
      <c r="X42" t="s">
        <v>6</v>
      </c>
      <c r="Y42" t="s">
        <v>31</v>
      </c>
      <c r="Z42" s="10" t="s">
        <v>496</v>
      </c>
    </row>
    <row r="43" spans="1:26" x14ac:dyDescent="0.2">
      <c r="A43" t="s">
        <v>151</v>
      </c>
      <c r="B43" s="9">
        <f t="shared" si="0"/>
        <v>1</v>
      </c>
      <c r="C43" t="s">
        <v>145</v>
      </c>
      <c r="D43" t="s">
        <v>152</v>
      </c>
      <c r="E43" t="s">
        <v>5</v>
      </c>
      <c r="F43" t="s">
        <v>153</v>
      </c>
      <c r="G43">
        <v>1</v>
      </c>
      <c r="H43">
        <v>1</v>
      </c>
      <c r="I43">
        <v>1</v>
      </c>
      <c r="J43" t="s">
        <v>148</v>
      </c>
      <c r="K43" t="s">
        <v>6</v>
      </c>
      <c r="M43" t="s">
        <v>6</v>
      </c>
      <c r="N43" t="s">
        <v>149</v>
      </c>
      <c r="O43" t="s">
        <v>154</v>
      </c>
      <c r="P43" t="s">
        <v>6</v>
      </c>
      <c r="Q43" t="s">
        <v>6</v>
      </c>
      <c r="R43" t="s">
        <v>6</v>
      </c>
      <c r="S43" t="s">
        <v>6</v>
      </c>
      <c r="T43" s="11">
        <v>9.0662942429141095E-5</v>
      </c>
      <c r="U43" t="s">
        <v>14</v>
      </c>
      <c r="V43" t="s">
        <v>6</v>
      </c>
      <c r="W43" t="s">
        <v>6</v>
      </c>
      <c r="X43" t="s">
        <v>6</v>
      </c>
      <c r="Y43" t="s">
        <v>31</v>
      </c>
      <c r="Z43" s="10" t="s">
        <v>496</v>
      </c>
    </row>
    <row r="44" spans="1:26" x14ac:dyDescent="0.2">
      <c r="A44" t="s">
        <v>155</v>
      </c>
      <c r="B44" s="9">
        <f t="shared" si="0"/>
        <v>10</v>
      </c>
      <c r="C44" t="s">
        <v>145</v>
      </c>
      <c r="D44" t="s">
        <v>156</v>
      </c>
      <c r="E44" t="s">
        <v>5</v>
      </c>
      <c r="F44" t="s">
        <v>157</v>
      </c>
      <c r="G44">
        <v>10</v>
      </c>
      <c r="H44">
        <v>1</v>
      </c>
      <c r="I44">
        <v>10</v>
      </c>
      <c r="J44" t="s">
        <v>148</v>
      </c>
      <c r="K44" t="s">
        <v>6</v>
      </c>
      <c r="M44" t="s">
        <v>6</v>
      </c>
      <c r="N44" t="s">
        <v>158</v>
      </c>
      <c r="O44" t="s">
        <v>159</v>
      </c>
      <c r="P44" t="s">
        <v>6</v>
      </c>
      <c r="Q44" t="s">
        <v>6</v>
      </c>
      <c r="R44" t="s">
        <v>6</v>
      </c>
      <c r="S44" t="s">
        <v>6</v>
      </c>
      <c r="T44">
        <v>0</v>
      </c>
      <c r="U44" t="s">
        <v>14</v>
      </c>
      <c r="V44" t="s">
        <v>6</v>
      </c>
      <c r="W44" t="s">
        <v>6</v>
      </c>
      <c r="X44" t="s">
        <v>6</v>
      </c>
      <c r="Y44" t="s">
        <v>21</v>
      </c>
      <c r="Z44" s="10" t="s">
        <v>496</v>
      </c>
    </row>
    <row r="45" spans="1:26" x14ac:dyDescent="0.2">
      <c r="A45" t="s">
        <v>160</v>
      </c>
      <c r="B45" s="9">
        <f t="shared" si="0"/>
        <v>10</v>
      </c>
      <c r="C45" t="s">
        <v>145</v>
      </c>
      <c r="D45" t="s">
        <v>161</v>
      </c>
      <c r="E45" t="s">
        <v>5</v>
      </c>
      <c r="F45" t="s">
        <v>162</v>
      </c>
      <c r="G45">
        <v>10</v>
      </c>
      <c r="H45">
        <v>1</v>
      </c>
      <c r="I45">
        <v>10</v>
      </c>
      <c r="J45" t="s">
        <v>148</v>
      </c>
      <c r="K45" t="s">
        <v>6</v>
      </c>
      <c r="M45" t="s">
        <v>6</v>
      </c>
      <c r="N45" t="s">
        <v>163</v>
      </c>
      <c r="O45" t="s">
        <v>162</v>
      </c>
      <c r="P45" t="s">
        <v>6</v>
      </c>
      <c r="Q45" t="s">
        <v>6</v>
      </c>
      <c r="R45" t="s">
        <v>6</v>
      </c>
      <c r="S45" t="s">
        <v>6</v>
      </c>
      <c r="T45">
        <v>0.92500000000000004</v>
      </c>
      <c r="U45" t="s">
        <v>14</v>
      </c>
      <c r="V45" t="s">
        <v>6</v>
      </c>
      <c r="W45" t="s">
        <v>6</v>
      </c>
      <c r="X45" t="s">
        <v>6</v>
      </c>
      <c r="Y45" t="s">
        <v>21</v>
      </c>
      <c r="Z45" s="10" t="s">
        <v>496</v>
      </c>
    </row>
    <row r="46" spans="1:26" x14ac:dyDescent="0.2">
      <c r="A46" t="s">
        <v>164</v>
      </c>
      <c r="B46" s="9">
        <f t="shared" si="0"/>
        <v>10</v>
      </c>
      <c r="C46" t="s">
        <v>145</v>
      </c>
      <c r="D46" t="s">
        <v>165</v>
      </c>
      <c r="E46" t="s">
        <v>5</v>
      </c>
      <c r="F46" t="s">
        <v>166</v>
      </c>
      <c r="G46">
        <v>10</v>
      </c>
      <c r="H46">
        <v>1</v>
      </c>
      <c r="I46">
        <v>10</v>
      </c>
      <c r="J46" t="s">
        <v>148</v>
      </c>
      <c r="K46" t="s">
        <v>6</v>
      </c>
      <c r="M46" t="s">
        <v>6</v>
      </c>
      <c r="N46" t="s">
        <v>158</v>
      </c>
      <c r="O46" t="s">
        <v>167</v>
      </c>
      <c r="P46" t="s">
        <v>6</v>
      </c>
      <c r="Q46" t="s">
        <v>6</v>
      </c>
      <c r="R46" t="s">
        <v>6</v>
      </c>
      <c r="S46" t="s">
        <v>6</v>
      </c>
      <c r="T46">
        <v>0.22500000000000001</v>
      </c>
      <c r="U46" t="s">
        <v>14</v>
      </c>
      <c r="V46" t="s">
        <v>6</v>
      </c>
      <c r="W46" t="s">
        <v>6</v>
      </c>
      <c r="X46" t="s">
        <v>6</v>
      </c>
      <c r="Y46" t="s">
        <v>21</v>
      </c>
      <c r="Z46" s="10" t="s">
        <v>496</v>
      </c>
    </row>
    <row r="47" spans="1:26" x14ac:dyDescent="0.2">
      <c r="A47" t="s">
        <v>168</v>
      </c>
      <c r="B47" s="9">
        <f t="shared" si="0"/>
        <v>10</v>
      </c>
      <c r="C47" t="s">
        <v>145</v>
      </c>
      <c r="D47" t="s">
        <v>169</v>
      </c>
      <c r="E47" t="s">
        <v>5</v>
      </c>
      <c r="F47" t="s">
        <v>170</v>
      </c>
      <c r="G47">
        <v>10</v>
      </c>
      <c r="H47">
        <v>1</v>
      </c>
      <c r="I47">
        <v>10</v>
      </c>
      <c r="J47" t="s">
        <v>148</v>
      </c>
      <c r="K47" t="s">
        <v>6</v>
      </c>
      <c r="M47" t="s">
        <v>6</v>
      </c>
      <c r="N47" t="s">
        <v>163</v>
      </c>
      <c r="O47" t="s">
        <v>171</v>
      </c>
      <c r="P47" t="s">
        <v>6</v>
      </c>
      <c r="Q47" t="s">
        <v>6</v>
      </c>
      <c r="R47" t="s">
        <v>6</v>
      </c>
      <c r="S47" t="s">
        <v>6</v>
      </c>
      <c r="T47">
        <v>0.86</v>
      </c>
      <c r="U47" t="s">
        <v>14</v>
      </c>
      <c r="V47" t="s">
        <v>6</v>
      </c>
      <c r="W47" t="s">
        <v>6</v>
      </c>
      <c r="X47" t="s">
        <v>6</v>
      </c>
      <c r="Y47" t="s">
        <v>21</v>
      </c>
      <c r="Z47" s="10" t="s">
        <v>496</v>
      </c>
    </row>
    <row r="48" spans="1:26" x14ac:dyDescent="0.2">
      <c r="A48" t="s">
        <v>172</v>
      </c>
      <c r="B48" s="9">
        <f t="shared" si="0"/>
        <v>27</v>
      </c>
      <c r="C48" t="s">
        <v>145</v>
      </c>
      <c r="D48" t="s">
        <v>173</v>
      </c>
      <c r="E48" t="s">
        <v>5</v>
      </c>
      <c r="F48" t="s">
        <v>174</v>
      </c>
      <c r="G48">
        <v>27</v>
      </c>
      <c r="H48">
        <v>1</v>
      </c>
      <c r="I48">
        <v>27</v>
      </c>
      <c r="J48" t="s">
        <v>148</v>
      </c>
      <c r="K48" t="s">
        <v>6</v>
      </c>
      <c r="M48" t="s">
        <v>6</v>
      </c>
      <c r="N48" t="s">
        <v>175</v>
      </c>
      <c r="O48" t="s">
        <v>174</v>
      </c>
      <c r="P48" t="s">
        <v>176</v>
      </c>
      <c r="Q48" t="s">
        <v>6</v>
      </c>
      <c r="R48" t="s">
        <v>6</v>
      </c>
      <c r="S48" t="s">
        <v>6</v>
      </c>
      <c r="T48">
        <v>1.4999999999999999E-2</v>
      </c>
      <c r="U48" t="s">
        <v>14</v>
      </c>
      <c r="V48" t="s">
        <v>6</v>
      </c>
      <c r="W48" t="s">
        <v>6</v>
      </c>
      <c r="X48" t="s">
        <v>6</v>
      </c>
      <c r="Y48" t="s">
        <v>31</v>
      </c>
      <c r="Z48" s="10" t="s">
        <v>496</v>
      </c>
    </row>
    <row r="49" spans="1:26" x14ac:dyDescent="0.2">
      <c r="A49" t="s">
        <v>177</v>
      </c>
      <c r="B49" s="9">
        <f t="shared" si="0"/>
        <v>9</v>
      </c>
      <c r="C49" t="s">
        <v>145</v>
      </c>
      <c r="D49" t="s">
        <v>178</v>
      </c>
      <c r="E49" t="s">
        <v>5</v>
      </c>
      <c r="F49" t="s">
        <v>179</v>
      </c>
      <c r="G49">
        <v>9</v>
      </c>
      <c r="H49">
        <v>1</v>
      </c>
      <c r="I49">
        <v>9</v>
      </c>
      <c r="J49" t="s">
        <v>148</v>
      </c>
      <c r="K49" t="s">
        <v>6</v>
      </c>
      <c r="M49" t="s">
        <v>6</v>
      </c>
      <c r="N49" t="s">
        <v>175</v>
      </c>
      <c r="O49" t="s">
        <v>179</v>
      </c>
      <c r="P49" t="s">
        <v>180</v>
      </c>
      <c r="Q49" t="s">
        <v>6</v>
      </c>
      <c r="R49" t="s">
        <v>6</v>
      </c>
      <c r="S49" t="s">
        <v>6</v>
      </c>
      <c r="T49">
        <v>0.24399999999999999</v>
      </c>
      <c r="U49" t="s">
        <v>14</v>
      </c>
      <c r="V49" t="s">
        <v>6</v>
      </c>
      <c r="W49" t="s">
        <v>6</v>
      </c>
      <c r="X49" t="s">
        <v>6</v>
      </c>
      <c r="Y49" t="s">
        <v>31</v>
      </c>
      <c r="Z49" s="10" t="s">
        <v>496</v>
      </c>
    </row>
    <row r="50" spans="1:26" x14ac:dyDescent="0.2">
      <c r="A50" t="s">
        <v>181</v>
      </c>
      <c r="B50" s="9">
        <f t="shared" si="0"/>
        <v>27</v>
      </c>
      <c r="C50" t="s">
        <v>145</v>
      </c>
      <c r="D50" t="s">
        <v>182</v>
      </c>
      <c r="E50" t="s">
        <v>5</v>
      </c>
      <c r="F50" t="s">
        <v>183</v>
      </c>
      <c r="G50">
        <v>27</v>
      </c>
      <c r="H50">
        <v>1</v>
      </c>
      <c r="I50">
        <v>27</v>
      </c>
      <c r="J50" t="s">
        <v>148</v>
      </c>
      <c r="K50" t="s">
        <v>6</v>
      </c>
      <c r="M50" t="s">
        <v>6</v>
      </c>
      <c r="N50" t="s">
        <v>175</v>
      </c>
      <c r="O50" t="s">
        <v>183</v>
      </c>
      <c r="P50" t="s">
        <v>184</v>
      </c>
      <c r="Q50" t="s">
        <v>6</v>
      </c>
      <c r="R50" t="s">
        <v>6</v>
      </c>
      <c r="S50" t="s">
        <v>6</v>
      </c>
      <c r="T50">
        <v>0.02</v>
      </c>
      <c r="U50" t="s">
        <v>14</v>
      </c>
      <c r="V50" t="s">
        <v>6</v>
      </c>
      <c r="W50" t="s">
        <v>6</v>
      </c>
      <c r="X50" t="s">
        <v>6</v>
      </c>
      <c r="Y50" t="s">
        <v>31</v>
      </c>
      <c r="Z50" s="10" t="s">
        <v>496</v>
      </c>
    </row>
    <row r="51" spans="1:26" x14ac:dyDescent="0.2">
      <c r="A51" t="s">
        <v>185</v>
      </c>
      <c r="B51" s="9">
        <f t="shared" si="0"/>
        <v>108</v>
      </c>
      <c r="C51" t="s">
        <v>145</v>
      </c>
      <c r="D51" t="s">
        <v>186</v>
      </c>
      <c r="E51" t="s">
        <v>5</v>
      </c>
      <c r="F51" t="s">
        <v>187</v>
      </c>
      <c r="G51">
        <v>108</v>
      </c>
      <c r="H51">
        <v>1</v>
      </c>
      <c r="I51">
        <v>108</v>
      </c>
      <c r="J51" t="s">
        <v>148</v>
      </c>
      <c r="K51" t="s">
        <v>6</v>
      </c>
      <c r="M51" t="s">
        <v>6</v>
      </c>
      <c r="N51" t="s">
        <v>175</v>
      </c>
      <c r="O51" t="s">
        <v>187</v>
      </c>
      <c r="P51" t="s">
        <v>188</v>
      </c>
      <c r="Q51" t="s">
        <v>6</v>
      </c>
      <c r="R51" t="s">
        <v>6</v>
      </c>
      <c r="S51" t="s">
        <v>6</v>
      </c>
      <c r="T51">
        <v>0.02</v>
      </c>
      <c r="U51" t="s">
        <v>14</v>
      </c>
      <c r="V51" t="s">
        <v>6</v>
      </c>
      <c r="W51" t="s">
        <v>6</v>
      </c>
      <c r="X51" t="s">
        <v>6</v>
      </c>
      <c r="Y51" t="s">
        <v>31</v>
      </c>
      <c r="Z51" s="10" t="s">
        <v>496</v>
      </c>
    </row>
    <row r="52" spans="1:26" x14ac:dyDescent="0.2">
      <c r="A52" t="s">
        <v>189</v>
      </c>
      <c r="B52" s="9">
        <f t="shared" si="0"/>
        <v>54</v>
      </c>
      <c r="C52" t="s">
        <v>145</v>
      </c>
      <c r="D52" t="s">
        <v>190</v>
      </c>
      <c r="E52" t="s">
        <v>5</v>
      </c>
      <c r="F52" t="s">
        <v>191</v>
      </c>
      <c r="G52">
        <v>54</v>
      </c>
      <c r="H52">
        <v>1</v>
      </c>
      <c r="I52">
        <v>54</v>
      </c>
      <c r="J52" t="s">
        <v>148</v>
      </c>
      <c r="K52" t="s">
        <v>6</v>
      </c>
      <c r="M52" t="s">
        <v>6</v>
      </c>
      <c r="N52" t="s">
        <v>175</v>
      </c>
      <c r="O52" t="s">
        <v>191</v>
      </c>
      <c r="P52" t="s">
        <v>192</v>
      </c>
      <c r="Q52" t="s">
        <v>6</v>
      </c>
      <c r="R52" t="s">
        <v>6</v>
      </c>
      <c r="S52" t="s">
        <v>6</v>
      </c>
      <c r="T52">
        <v>4.0000000000000001E-3</v>
      </c>
      <c r="U52" t="s">
        <v>14</v>
      </c>
      <c r="V52" t="s">
        <v>6</v>
      </c>
      <c r="W52" t="s">
        <v>6</v>
      </c>
      <c r="X52" t="s">
        <v>6</v>
      </c>
      <c r="Y52" t="s">
        <v>31</v>
      </c>
      <c r="Z52" s="10" t="s">
        <v>496</v>
      </c>
    </row>
    <row r="53" spans="1:26" x14ac:dyDescent="0.2">
      <c r="A53" t="s">
        <v>193</v>
      </c>
      <c r="B53" s="9">
        <f t="shared" si="0"/>
        <v>162</v>
      </c>
      <c r="C53" t="s">
        <v>145</v>
      </c>
      <c r="D53" t="s">
        <v>194</v>
      </c>
      <c r="E53" t="s">
        <v>5</v>
      </c>
      <c r="F53" t="s">
        <v>195</v>
      </c>
      <c r="G53">
        <v>162</v>
      </c>
      <c r="H53">
        <v>1</v>
      </c>
      <c r="I53">
        <v>162</v>
      </c>
      <c r="J53" t="s">
        <v>148</v>
      </c>
      <c r="K53" t="s">
        <v>6</v>
      </c>
      <c r="M53" t="s">
        <v>6</v>
      </c>
      <c r="N53" t="s">
        <v>175</v>
      </c>
      <c r="O53" t="s">
        <v>195</v>
      </c>
      <c r="P53" t="s">
        <v>196</v>
      </c>
      <c r="Q53" t="s">
        <v>6</v>
      </c>
      <c r="R53" t="s">
        <v>6</v>
      </c>
      <c r="S53" t="s">
        <v>6</v>
      </c>
      <c r="T53">
        <v>1E-3</v>
      </c>
      <c r="U53" t="s">
        <v>14</v>
      </c>
      <c r="V53" t="s">
        <v>6</v>
      </c>
      <c r="W53" t="s">
        <v>6</v>
      </c>
      <c r="X53" t="s">
        <v>6</v>
      </c>
      <c r="Y53" t="s">
        <v>31</v>
      </c>
      <c r="Z53" s="10" t="s">
        <v>496</v>
      </c>
    </row>
    <row r="54" spans="1:26" x14ac:dyDescent="0.2">
      <c r="A54" t="s">
        <v>197</v>
      </c>
      <c r="B54" s="9">
        <f t="shared" si="0"/>
        <v>9</v>
      </c>
      <c r="C54" t="s">
        <v>145</v>
      </c>
      <c r="D54" t="s">
        <v>198</v>
      </c>
      <c r="E54" t="s">
        <v>5</v>
      </c>
      <c r="F54" t="s">
        <v>199</v>
      </c>
      <c r="G54">
        <v>9</v>
      </c>
      <c r="H54">
        <v>1</v>
      </c>
      <c r="I54">
        <v>9</v>
      </c>
      <c r="J54" t="s">
        <v>148</v>
      </c>
      <c r="K54" t="s">
        <v>6</v>
      </c>
      <c r="M54" t="s">
        <v>6</v>
      </c>
      <c r="N54" t="s">
        <v>175</v>
      </c>
      <c r="O54" t="s">
        <v>199</v>
      </c>
      <c r="P54" t="s">
        <v>200</v>
      </c>
      <c r="Q54" t="s">
        <v>6</v>
      </c>
      <c r="R54" t="s">
        <v>6</v>
      </c>
      <c r="S54" t="s">
        <v>6</v>
      </c>
      <c r="T54">
        <v>0.105</v>
      </c>
      <c r="U54" t="s">
        <v>14</v>
      </c>
      <c r="V54" t="s">
        <v>6</v>
      </c>
      <c r="W54" t="s">
        <v>6</v>
      </c>
      <c r="X54" t="s">
        <v>6</v>
      </c>
      <c r="Y54" t="s">
        <v>31</v>
      </c>
      <c r="Z54" s="10" t="s">
        <v>496</v>
      </c>
    </row>
    <row r="55" spans="1:26" x14ac:dyDescent="0.2">
      <c r="A55" t="s">
        <v>201</v>
      </c>
      <c r="B55" s="9">
        <f t="shared" si="0"/>
        <v>1296</v>
      </c>
      <c r="C55" t="s">
        <v>145</v>
      </c>
      <c r="D55" t="s">
        <v>202</v>
      </c>
      <c r="E55" t="s">
        <v>5</v>
      </c>
      <c r="F55" t="s">
        <v>203</v>
      </c>
      <c r="G55">
        <v>1296</v>
      </c>
      <c r="H55">
        <v>1</v>
      </c>
      <c r="I55">
        <v>1296</v>
      </c>
      <c r="J55" t="s">
        <v>148</v>
      </c>
      <c r="K55" t="s">
        <v>6</v>
      </c>
      <c r="M55" t="s">
        <v>6</v>
      </c>
      <c r="N55" t="s">
        <v>175</v>
      </c>
      <c r="O55" t="s">
        <v>203</v>
      </c>
      <c r="P55" t="s">
        <v>204</v>
      </c>
      <c r="Q55" t="s">
        <v>6</v>
      </c>
      <c r="R55" t="s">
        <v>6</v>
      </c>
      <c r="S55" t="s">
        <v>6</v>
      </c>
      <c r="T55">
        <v>1E-3</v>
      </c>
      <c r="U55" t="s">
        <v>14</v>
      </c>
      <c r="V55" t="s">
        <v>6</v>
      </c>
      <c r="W55" t="s">
        <v>6</v>
      </c>
      <c r="X55" t="s">
        <v>6</v>
      </c>
      <c r="Y55" t="s">
        <v>31</v>
      </c>
      <c r="Z55" s="10" t="s">
        <v>496</v>
      </c>
    </row>
    <row r="56" spans="1:26" x14ac:dyDescent="0.2">
      <c r="A56" t="s">
        <v>205</v>
      </c>
      <c r="B56" s="9">
        <f t="shared" si="0"/>
        <v>162</v>
      </c>
      <c r="C56" t="s">
        <v>145</v>
      </c>
      <c r="D56" t="s">
        <v>206</v>
      </c>
      <c r="E56" t="s">
        <v>5</v>
      </c>
      <c r="F56" t="s">
        <v>207</v>
      </c>
      <c r="G56">
        <v>162</v>
      </c>
      <c r="H56">
        <v>1</v>
      </c>
      <c r="I56">
        <v>162</v>
      </c>
      <c r="J56" t="s">
        <v>148</v>
      </c>
      <c r="K56" t="s">
        <v>6</v>
      </c>
      <c r="M56" t="s">
        <v>6</v>
      </c>
      <c r="N56" t="s">
        <v>175</v>
      </c>
      <c r="O56" t="s">
        <v>207</v>
      </c>
      <c r="P56" t="s">
        <v>208</v>
      </c>
      <c r="Q56" t="s">
        <v>6</v>
      </c>
      <c r="R56" t="s">
        <v>6</v>
      </c>
      <c r="S56" t="s">
        <v>6</v>
      </c>
      <c r="T56">
        <v>1E-3</v>
      </c>
      <c r="U56" t="s">
        <v>14</v>
      </c>
      <c r="V56" t="s">
        <v>6</v>
      </c>
      <c r="W56" t="s">
        <v>6</v>
      </c>
      <c r="X56" t="s">
        <v>6</v>
      </c>
      <c r="Y56" t="s">
        <v>31</v>
      </c>
      <c r="Z56" s="10" t="s">
        <v>496</v>
      </c>
    </row>
    <row r="57" spans="1:26" x14ac:dyDescent="0.2">
      <c r="A57" t="s">
        <v>209</v>
      </c>
      <c r="B57" s="9">
        <f t="shared" si="0"/>
        <v>9</v>
      </c>
      <c r="C57" t="s">
        <v>145</v>
      </c>
      <c r="D57" t="s">
        <v>210</v>
      </c>
      <c r="E57" t="s">
        <v>5</v>
      </c>
      <c r="F57" t="s">
        <v>211</v>
      </c>
      <c r="G57">
        <v>9</v>
      </c>
      <c r="H57">
        <v>1</v>
      </c>
      <c r="I57">
        <v>9</v>
      </c>
      <c r="J57" t="s">
        <v>148</v>
      </c>
      <c r="K57" t="s">
        <v>6</v>
      </c>
      <c r="M57" t="s">
        <v>6</v>
      </c>
      <c r="N57" t="s">
        <v>175</v>
      </c>
      <c r="O57" t="s">
        <v>211</v>
      </c>
      <c r="P57" t="s">
        <v>212</v>
      </c>
      <c r="Q57" t="s">
        <v>6</v>
      </c>
      <c r="R57" t="s">
        <v>6</v>
      </c>
      <c r="S57" t="s">
        <v>6</v>
      </c>
      <c r="T57">
        <v>0.13500000000000001</v>
      </c>
      <c r="U57" t="s">
        <v>14</v>
      </c>
      <c r="V57" t="s">
        <v>6</v>
      </c>
      <c r="W57" t="s">
        <v>6</v>
      </c>
      <c r="X57" t="s">
        <v>6</v>
      </c>
      <c r="Y57" t="s">
        <v>31</v>
      </c>
      <c r="Z57" s="10" t="s">
        <v>496</v>
      </c>
    </row>
    <row r="58" spans="1:26" x14ac:dyDescent="0.2">
      <c r="A58" t="s">
        <v>213</v>
      </c>
      <c r="B58" s="9">
        <f t="shared" si="0"/>
        <v>9</v>
      </c>
      <c r="C58" t="s">
        <v>145</v>
      </c>
      <c r="D58" t="s">
        <v>214</v>
      </c>
      <c r="E58" t="s">
        <v>5</v>
      </c>
      <c r="F58" t="s">
        <v>215</v>
      </c>
      <c r="G58">
        <v>9</v>
      </c>
      <c r="H58">
        <v>1</v>
      </c>
      <c r="I58">
        <v>9</v>
      </c>
      <c r="J58" t="s">
        <v>148</v>
      </c>
      <c r="K58" t="s">
        <v>6</v>
      </c>
      <c r="M58" t="s">
        <v>6</v>
      </c>
      <c r="N58" t="s">
        <v>216</v>
      </c>
      <c r="O58" t="s">
        <v>215</v>
      </c>
      <c r="P58" t="s">
        <v>6</v>
      </c>
      <c r="Q58" t="s">
        <v>6</v>
      </c>
      <c r="R58" t="s">
        <v>6</v>
      </c>
      <c r="S58" t="s">
        <v>6</v>
      </c>
      <c r="T58">
        <v>0.154</v>
      </c>
      <c r="U58" t="s">
        <v>14</v>
      </c>
      <c r="V58" t="s">
        <v>6</v>
      </c>
      <c r="W58" t="s">
        <v>6</v>
      </c>
      <c r="X58" t="s">
        <v>6</v>
      </c>
      <c r="Y58" t="s">
        <v>31</v>
      </c>
      <c r="Z58" s="10" t="s">
        <v>496</v>
      </c>
    </row>
    <row r="59" spans="1:26" x14ac:dyDescent="0.2">
      <c r="A59" t="s">
        <v>217</v>
      </c>
      <c r="B59" s="9">
        <f t="shared" si="0"/>
        <v>81</v>
      </c>
      <c r="C59" t="s">
        <v>145</v>
      </c>
      <c r="D59" t="s">
        <v>218</v>
      </c>
      <c r="E59" t="s">
        <v>5</v>
      </c>
      <c r="F59" t="s">
        <v>219</v>
      </c>
      <c r="G59">
        <v>81</v>
      </c>
      <c r="H59">
        <v>1</v>
      </c>
      <c r="I59">
        <v>81</v>
      </c>
      <c r="J59" t="s">
        <v>148</v>
      </c>
      <c r="K59" t="s">
        <v>6</v>
      </c>
      <c r="M59" t="s">
        <v>6</v>
      </c>
      <c r="N59" t="s">
        <v>175</v>
      </c>
      <c r="O59" t="s">
        <v>219</v>
      </c>
      <c r="P59" t="s">
        <v>220</v>
      </c>
      <c r="Q59" t="s">
        <v>6</v>
      </c>
      <c r="R59" t="s">
        <v>6</v>
      </c>
      <c r="S59" t="s">
        <v>6</v>
      </c>
      <c r="T59">
        <v>4.0000000000000001E-3</v>
      </c>
      <c r="U59" t="s">
        <v>14</v>
      </c>
      <c r="V59" t="s">
        <v>6</v>
      </c>
      <c r="W59" t="s">
        <v>6</v>
      </c>
      <c r="X59" t="s">
        <v>6</v>
      </c>
      <c r="Y59" t="s">
        <v>31</v>
      </c>
      <c r="Z59" s="10" t="s">
        <v>496</v>
      </c>
    </row>
    <row r="60" spans="1:26" x14ac:dyDescent="0.2">
      <c r="A60" t="s">
        <v>221</v>
      </c>
      <c r="B60" s="9">
        <f t="shared" si="0"/>
        <v>27</v>
      </c>
      <c r="C60" t="s">
        <v>145</v>
      </c>
      <c r="D60" t="s">
        <v>222</v>
      </c>
      <c r="E60" t="s">
        <v>5</v>
      </c>
      <c r="F60" t="s">
        <v>223</v>
      </c>
      <c r="G60">
        <v>27</v>
      </c>
      <c r="H60">
        <v>1</v>
      </c>
      <c r="I60">
        <v>27</v>
      </c>
      <c r="J60" t="s">
        <v>148</v>
      </c>
      <c r="K60" t="s">
        <v>6</v>
      </c>
      <c r="M60" t="s">
        <v>6</v>
      </c>
      <c r="N60" t="s">
        <v>224</v>
      </c>
      <c r="O60" t="s">
        <v>225</v>
      </c>
      <c r="P60" t="s">
        <v>226</v>
      </c>
      <c r="Q60" t="s">
        <v>6</v>
      </c>
      <c r="R60" t="s">
        <v>6</v>
      </c>
      <c r="S60" t="s">
        <v>6</v>
      </c>
      <c r="T60">
        <v>1.8499999999999999E-2</v>
      </c>
      <c r="U60" t="s">
        <v>14</v>
      </c>
      <c r="V60" t="s">
        <v>6</v>
      </c>
      <c r="W60" t="s">
        <v>6</v>
      </c>
      <c r="X60" t="s">
        <v>6</v>
      </c>
      <c r="Y60" t="s">
        <v>31</v>
      </c>
      <c r="Z60" s="10" t="s">
        <v>496</v>
      </c>
    </row>
    <row r="61" spans="1:26" x14ac:dyDescent="0.2">
      <c r="A61" t="s">
        <v>227</v>
      </c>
      <c r="B61" s="9">
        <f t="shared" si="0"/>
        <v>9</v>
      </c>
      <c r="C61" t="s">
        <v>145</v>
      </c>
      <c r="D61" t="s">
        <v>228</v>
      </c>
      <c r="E61" t="s">
        <v>5</v>
      </c>
      <c r="F61" t="s">
        <v>229</v>
      </c>
      <c r="G61">
        <v>9</v>
      </c>
      <c r="H61">
        <v>1</v>
      </c>
      <c r="I61">
        <v>9</v>
      </c>
      <c r="J61" t="s">
        <v>148</v>
      </c>
      <c r="K61" t="s">
        <v>6</v>
      </c>
      <c r="M61" t="s">
        <v>6</v>
      </c>
      <c r="N61" t="s">
        <v>230</v>
      </c>
      <c r="O61" t="s">
        <v>229</v>
      </c>
      <c r="P61" t="s">
        <v>6</v>
      </c>
      <c r="Q61" t="s">
        <v>6</v>
      </c>
      <c r="R61" t="s">
        <v>6</v>
      </c>
      <c r="S61" t="s">
        <v>6</v>
      </c>
      <c r="T61">
        <v>0.02</v>
      </c>
      <c r="U61" t="s">
        <v>14</v>
      </c>
      <c r="V61" t="s">
        <v>6</v>
      </c>
      <c r="W61" t="s">
        <v>6</v>
      </c>
      <c r="X61" t="s">
        <v>6</v>
      </c>
      <c r="Y61" t="s">
        <v>31</v>
      </c>
      <c r="Z61" s="10" t="s">
        <v>496</v>
      </c>
    </row>
    <row r="62" spans="1:26" x14ac:dyDescent="0.2">
      <c r="A62" t="s">
        <v>231</v>
      </c>
      <c r="B62" s="9">
        <f t="shared" si="0"/>
        <v>9</v>
      </c>
      <c r="C62" t="s">
        <v>145</v>
      </c>
      <c r="D62" t="s">
        <v>232</v>
      </c>
      <c r="E62" t="s">
        <v>5</v>
      </c>
      <c r="F62" t="s">
        <v>233</v>
      </c>
      <c r="G62">
        <v>9</v>
      </c>
      <c r="H62">
        <v>1</v>
      </c>
      <c r="I62">
        <v>9</v>
      </c>
      <c r="J62" t="s">
        <v>148</v>
      </c>
      <c r="K62" t="s">
        <v>6</v>
      </c>
      <c r="M62" t="s">
        <v>6</v>
      </c>
      <c r="N62" t="s">
        <v>234</v>
      </c>
      <c r="O62" t="s">
        <v>233</v>
      </c>
      <c r="P62" t="s">
        <v>6</v>
      </c>
      <c r="Q62" t="s">
        <v>6</v>
      </c>
      <c r="R62" t="s">
        <v>6</v>
      </c>
      <c r="S62" t="s">
        <v>6</v>
      </c>
      <c r="T62">
        <v>5.6000000000000001E-2</v>
      </c>
      <c r="U62" t="s">
        <v>14</v>
      </c>
      <c r="V62" t="s">
        <v>6</v>
      </c>
      <c r="W62" t="s">
        <v>6</v>
      </c>
      <c r="X62" t="s">
        <v>6</v>
      </c>
      <c r="Y62" t="s">
        <v>31</v>
      </c>
      <c r="Z62" s="10" t="s">
        <v>496</v>
      </c>
    </row>
    <row r="63" spans="1:26" x14ac:dyDescent="0.2">
      <c r="A63" t="s">
        <v>235</v>
      </c>
      <c r="B63" s="9">
        <f t="shared" si="0"/>
        <v>9</v>
      </c>
      <c r="C63" t="s">
        <v>145</v>
      </c>
      <c r="D63" t="s">
        <v>236</v>
      </c>
      <c r="E63" t="s">
        <v>5</v>
      </c>
      <c r="F63" t="s">
        <v>237</v>
      </c>
      <c r="G63">
        <v>9</v>
      </c>
      <c r="H63">
        <v>1</v>
      </c>
      <c r="I63">
        <v>9</v>
      </c>
      <c r="J63" t="s">
        <v>148</v>
      </c>
      <c r="K63" t="s">
        <v>6</v>
      </c>
      <c r="M63" t="s">
        <v>6</v>
      </c>
      <c r="N63" t="s">
        <v>238</v>
      </c>
      <c r="O63" t="s">
        <v>237</v>
      </c>
      <c r="P63" t="s">
        <v>6</v>
      </c>
      <c r="Q63" t="s">
        <v>239</v>
      </c>
      <c r="R63" t="s">
        <v>6</v>
      </c>
      <c r="S63" t="s">
        <v>6</v>
      </c>
      <c r="T63">
        <v>5.3999999999999999E-2</v>
      </c>
      <c r="U63" t="s">
        <v>14</v>
      </c>
      <c r="V63" t="s">
        <v>6</v>
      </c>
      <c r="W63" t="s">
        <v>6</v>
      </c>
      <c r="X63" t="s">
        <v>6</v>
      </c>
      <c r="Y63" t="s">
        <v>31</v>
      </c>
      <c r="Z63" s="10" t="s">
        <v>496</v>
      </c>
    </row>
    <row r="64" spans="1:26" x14ac:dyDescent="0.2">
      <c r="A64" t="s">
        <v>240</v>
      </c>
      <c r="B64" s="9">
        <f t="shared" si="0"/>
        <v>9</v>
      </c>
      <c r="C64" t="s">
        <v>145</v>
      </c>
      <c r="D64" t="s">
        <v>241</v>
      </c>
      <c r="E64" t="s">
        <v>5</v>
      </c>
      <c r="F64" t="s">
        <v>242</v>
      </c>
      <c r="G64">
        <v>9</v>
      </c>
      <c r="H64">
        <v>1</v>
      </c>
      <c r="I64">
        <v>9</v>
      </c>
      <c r="J64" t="s">
        <v>148</v>
      </c>
      <c r="K64" t="s">
        <v>6</v>
      </c>
      <c r="M64" t="s">
        <v>6</v>
      </c>
      <c r="N64" t="s">
        <v>243</v>
      </c>
      <c r="O64" t="s">
        <v>242</v>
      </c>
      <c r="P64" t="s">
        <v>244</v>
      </c>
      <c r="Q64" t="s">
        <v>239</v>
      </c>
      <c r="R64" t="s">
        <v>6</v>
      </c>
      <c r="S64" t="s">
        <v>6</v>
      </c>
      <c r="T64">
        <v>0.15</v>
      </c>
      <c r="U64" t="s">
        <v>14</v>
      </c>
      <c r="V64" t="s">
        <v>6</v>
      </c>
      <c r="W64" t="s">
        <v>6</v>
      </c>
      <c r="X64" t="s">
        <v>6</v>
      </c>
      <c r="Y64" t="s">
        <v>31</v>
      </c>
      <c r="Z64" s="10" t="s">
        <v>496</v>
      </c>
    </row>
    <row r="65" spans="1:26" x14ac:dyDescent="0.2">
      <c r="A65" t="s">
        <v>245</v>
      </c>
      <c r="B65" s="9">
        <f t="shared" si="0"/>
        <v>18</v>
      </c>
      <c r="C65" t="s">
        <v>145</v>
      </c>
      <c r="D65" t="s">
        <v>246</v>
      </c>
      <c r="E65" t="s">
        <v>5</v>
      </c>
      <c r="F65" t="s">
        <v>247</v>
      </c>
      <c r="G65">
        <v>18</v>
      </c>
      <c r="H65">
        <v>1</v>
      </c>
      <c r="I65">
        <v>18</v>
      </c>
      <c r="J65" t="s">
        <v>148</v>
      </c>
      <c r="K65" t="s">
        <v>6</v>
      </c>
      <c r="M65" t="s">
        <v>6</v>
      </c>
      <c r="N65" t="s">
        <v>248</v>
      </c>
      <c r="O65" t="s">
        <v>247</v>
      </c>
      <c r="P65" t="s">
        <v>6</v>
      </c>
      <c r="Q65" t="s">
        <v>239</v>
      </c>
      <c r="R65" t="s">
        <v>6</v>
      </c>
      <c r="S65" t="s">
        <v>6</v>
      </c>
      <c r="T65">
        <v>5.0000000000000001E-4</v>
      </c>
      <c r="U65" t="s">
        <v>14</v>
      </c>
      <c r="V65" t="s">
        <v>6</v>
      </c>
      <c r="W65" t="s">
        <v>6</v>
      </c>
      <c r="X65" t="s">
        <v>6</v>
      </c>
      <c r="Y65" t="s">
        <v>31</v>
      </c>
      <c r="Z65" s="10" t="s">
        <v>496</v>
      </c>
    </row>
    <row r="66" spans="1:26" x14ac:dyDescent="0.2">
      <c r="A66" t="s">
        <v>249</v>
      </c>
      <c r="B66" s="9">
        <f t="shared" si="0"/>
        <v>18</v>
      </c>
      <c r="C66" t="s">
        <v>145</v>
      </c>
      <c r="D66" t="s">
        <v>250</v>
      </c>
      <c r="E66" t="s">
        <v>5</v>
      </c>
      <c r="F66" t="s">
        <v>251</v>
      </c>
      <c r="G66">
        <v>18</v>
      </c>
      <c r="H66">
        <v>1</v>
      </c>
      <c r="I66">
        <v>18</v>
      </c>
      <c r="J66" t="s">
        <v>148</v>
      </c>
      <c r="K66" t="s">
        <v>6</v>
      </c>
      <c r="M66" t="s">
        <v>6</v>
      </c>
      <c r="N66" t="s">
        <v>230</v>
      </c>
      <c r="O66" t="s">
        <v>251</v>
      </c>
      <c r="P66" t="s">
        <v>6</v>
      </c>
      <c r="Q66" t="s">
        <v>239</v>
      </c>
      <c r="R66" t="s">
        <v>6</v>
      </c>
      <c r="S66" t="s">
        <v>6</v>
      </c>
      <c r="T66">
        <v>1.2E-2</v>
      </c>
      <c r="U66" t="s">
        <v>14</v>
      </c>
      <c r="V66" t="s">
        <v>6</v>
      </c>
      <c r="W66" t="s">
        <v>6</v>
      </c>
      <c r="X66" t="s">
        <v>6</v>
      </c>
      <c r="Y66" t="s">
        <v>31</v>
      </c>
      <c r="Z66" s="10" t="s">
        <v>496</v>
      </c>
    </row>
    <row r="67" spans="1:26" x14ac:dyDescent="0.2">
      <c r="A67" t="s">
        <v>252</v>
      </c>
      <c r="B67" s="9">
        <f t="shared" ref="B67:B130" si="1">I67</f>
        <v>18</v>
      </c>
      <c r="C67" t="s">
        <v>145</v>
      </c>
      <c r="D67" t="s">
        <v>253</v>
      </c>
      <c r="E67" t="s">
        <v>5</v>
      </c>
      <c r="F67" t="s">
        <v>254</v>
      </c>
      <c r="G67">
        <v>18</v>
      </c>
      <c r="H67">
        <v>1</v>
      </c>
      <c r="I67">
        <v>18</v>
      </c>
      <c r="J67" t="s">
        <v>148</v>
      </c>
      <c r="K67" t="s">
        <v>6</v>
      </c>
      <c r="M67" t="s">
        <v>6</v>
      </c>
      <c r="N67" t="s">
        <v>230</v>
      </c>
      <c r="O67" t="s">
        <v>254</v>
      </c>
      <c r="P67" t="s">
        <v>6</v>
      </c>
      <c r="Q67" t="s">
        <v>255</v>
      </c>
      <c r="R67" t="s">
        <v>6</v>
      </c>
      <c r="S67" t="s">
        <v>6</v>
      </c>
      <c r="T67">
        <v>1E-3</v>
      </c>
      <c r="U67" t="s">
        <v>14</v>
      </c>
      <c r="V67" t="s">
        <v>6</v>
      </c>
      <c r="W67" t="s">
        <v>6</v>
      </c>
      <c r="X67" t="s">
        <v>6</v>
      </c>
      <c r="Y67" t="s">
        <v>31</v>
      </c>
      <c r="Z67" s="10" t="s">
        <v>496</v>
      </c>
    </row>
    <row r="68" spans="1:26" x14ac:dyDescent="0.2">
      <c r="A68" t="s">
        <v>256</v>
      </c>
      <c r="B68" s="9">
        <f t="shared" si="1"/>
        <v>18</v>
      </c>
      <c r="C68" t="s">
        <v>145</v>
      </c>
      <c r="D68" t="s">
        <v>257</v>
      </c>
      <c r="E68" t="s">
        <v>5</v>
      </c>
      <c r="F68" t="s">
        <v>258</v>
      </c>
      <c r="G68">
        <v>18</v>
      </c>
      <c r="H68">
        <v>1</v>
      </c>
      <c r="I68">
        <v>18</v>
      </c>
      <c r="J68" t="s">
        <v>148</v>
      </c>
      <c r="K68" t="s">
        <v>6</v>
      </c>
      <c r="M68" t="s">
        <v>6</v>
      </c>
      <c r="N68" t="s">
        <v>224</v>
      </c>
      <c r="O68" t="s">
        <v>258</v>
      </c>
      <c r="P68" t="s">
        <v>6</v>
      </c>
      <c r="Q68" t="s">
        <v>6</v>
      </c>
      <c r="R68" t="s">
        <v>6</v>
      </c>
      <c r="S68" t="s">
        <v>6</v>
      </c>
      <c r="T68">
        <v>4.2000000000000003E-2</v>
      </c>
      <c r="U68" t="s">
        <v>14</v>
      </c>
      <c r="V68" t="s">
        <v>6</v>
      </c>
      <c r="W68" t="s">
        <v>6</v>
      </c>
      <c r="X68" t="s">
        <v>6</v>
      </c>
      <c r="Y68" t="s">
        <v>31</v>
      </c>
      <c r="Z68" s="10" t="s">
        <v>496</v>
      </c>
    </row>
    <row r="69" spans="1:26" x14ac:dyDescent="0.2">
      <c r="A69" t="s">
        <v>259</v>
      </c>
      <c r="B69" s="9">
        <f t="shared" si="1"/>
        <v>9</v>
      </c>
      <c r="C69" t="s">
        <v>145</v>
      </c>
      <c r="D69" t="s">
        <v>260</v>
      </c>
      <c r="E69" t="s">
        <v>5</v>
      </c>
      <c r="F69" t="s">
        <v>261</v>
      </c>
      <c r="G69">
        <v>9</v>
      </c>
      <c r="H69">
        <v>1</v>
      </c>
      <c r="I69">
        <v>9</v>
      </c>
      <c r="J69" t="s">
        <v>148</v>
      </c>
      <c r="K69" t="s">
        <v>6</v>
      </c>
      <c r="M69" t="s">
        <v>6</v>
      </c>
      <c r="N69" t="s">
        <v>262</v>
      </c>
      <c r="O69" t="s">
        <v>261</v>
      </c>
      <c r="P69" t="s">
        <v>6</v>
      </c>
      <c r="Q69" t="s">
        <v>239</v>
      </c>
      <c r="R69" t="s">
        <v>6</v>
      </c>
      <c r="S69" t="s">
        <v>6</v>
      </c>
      <c r="T69">
        <v>0</v>
      </c>
      <c r="U69" t="s">
        <v>14</v>
      </c>
      <c r="V69" t="s">
        <v>6</v>
      </c>
      <c r="W69" t="s">
        <v>6</v>
      </c>
      <c r="X69" t="s">
        <v>6</v>
      </c>
      <c r="Y69" t="s">
        <v>31</v>
      </c>
      <c r="Z69" s="10" t="s">
        <v>496</v>
      </c>
    </row>
    <row r="70" spans="1:26" x14ac:dyDescent="0.2">
      <c r="A70" t="s">
        <v>263</v>
      </c>
      <c r="B70" s="9">
        <f t="shared" si="1"/>
        <v>9</v>
      </c>
      <c r="C70" t="s">
        <v>145</v>
      </c>
      <c r="D70" t="s">
        <v>264</v>
      </c>
      <c r="E70" t="s">
        <v>5</v>
      </c>
      <c r="F70" t="s">
        <v>265</v>
      </c>
      <c r="G70">
        <v>9</v>
      </c>
      <c r="H70">
        <v>1</v>
      </c>
      <c r="I70">
        <v>9</v>
      </c>
      <c r="J70" t="s">
        <v>148</v>
      </c>
      <c r="K70" t="s">
        <v>6</v>
      </c>
      <c r="M70" t="s">
        <v>6</v>
      </c>
      <c r="N70" t="s">
        <v>266</v>
      </c>
      <c r="O70" t="s">
        <v>265</v>
      </c>
      <c r="P70" t="s">
        <v>6</v>
      </c>
      <c r="Q70" t="s">
        <v>239</v>
      </c>
      <c r="R70" t="s">
        <v>6</v>
      </c>
      <c r="S70" t="s">
        <v>6</v>
      </c>
      <c r="T70">
        <v>5.0000000000000001E-4</v>
      </c>
      <c r="U70" t="s">
        <v>14</v>
      </c>
      <c r="V70" t="s">
        <v>6</v>
      </c>
      <c r="W70" t="s">
        <v>6</v>
      </c>
      <c r="X70" t="s">
        <v>6</v>
      </c>
      <c r="Y70" t="s">
        <v>31</v>
      </c>
      <c r="Z70" s="10" t="s">
        <v>496</v>
      </c>
    </row>
    <row r="71" spans="1:26" x14ac:dyDescent="0.2">
      <c r="A71" t="s">
        <v>267</v>
      </c>
      <c r="B71" s="9">
        <f t="shared" si="1"/>
        <v>9</v>
      </c>
      <c r="C71" t="s">
        <v>145</v>
      </c>
      <c r="D71" t="s">
        <v>268</v>
      </c>
      <c r="E71" t="s">
        <v>5</v>
      </c>
      <c r="F71" t="s">
        <v>269</v>
      </c>
      <c r="G71">
        <v>9</v>
      </c>
      <c r="H71">
        <v>1</v>
      </c>
      <c r="I71">
        <v>9</v>
      </c>
      <c r="J71" t="s">
        <v>148</v>
      </c>
      <c r="K71" t="s">
        <v>6</v>
      </c>
      <c r="M71" t="s">
        <v>6</v>
      </c>
      <c r="N71" t="s">
        <v>270</v>
      </c>
      <c r="O71" t="s">
        <v>269</v>
      </c>
      <c r="P71" t="s">
        <v>6</v>
      </c>
      <c r="Q71" t="s">
        <v>6</v>
      </c>
      <c r="R71" t="s">
        <v>6</v>
      </c>
      <c r="S71" t="s">
        <v>6</v>
      </c>
      <c r="T71">
        <v>0.22</v>
      </c>
      <c r="U71" t="s">
        <v>14</v>
      </c>
      <c r="V71" t="s">
        <v>6</v>
      </c>
      <c r="W71" t="s">
        <v>6</v>
      </c>
      <c r="X71" t="s">
        <v>6</v>
      </c>
      <c r="Y71" t="s">
        <v>31</v>
      </c>
      <c r="Z71" s="10" t="s">
        <v>496</v>
      </c>
    </row>
    <row r="72" spans="1:26" x14ac:dyDescent="0.2">
      <c r="A72" t="s">
        <v>271</v>
      </c>
      <c r="B72" s="9">
        <f t="shared" si="1"/>
        <v>9</v>
      </c>
      <c r="C72" t="s">
        <v>145</v>
      </c>
      <c r="D72" t="s">
        <v>272</v>
      </c>
      <c r="E72" t="s">
        <v>5</v>
      </c>
      <c r="F72" t="s">
        <v>273</v>
      </c>
      <c r="G72">
        <v>9</v>
      </c>
      <c r="H72">
        <v>1</v>
      </c>
      <c r="I72">
        <v>9</v>
      </c>
      <c r="J72" t="s">
        <v>148</v>
      </c>
      <c r="K72" t="s">
        <v>6</v>
      </c>
      <c r="M72" t="s">
        <v>6</v>
      </c>
      <c r="N72" t="s">
        <v>270</v>
      </c>
      <c r="O72" t="s">
        <v>273</v>
      </c>
      <c r="P72" t="s">
        <v>6</v>
      </c>
      <c r="Q72" t="s">
        <v>6</v>
      </c>
      <c r="R72" t="s">
        <v>6</v>
      </c>
      <c r="S72" t="s">
        <v>6</v>
      </c>
      <c r="T72">
        <v>2.8000000000000001E-2</v>
      </c>
      <c r="U72" t="s">
        <v>14</v>
      </c>
      <c r="V72" t="s">
        <v>6</v>
      </c>
      <c r="W72" t="s">
        <v>6</v>
      </c>
      <c r="X72" t="s">
        <v>6</v>
      </c>
      <c r="Y72" t="s">
        <v>31</v>
      </c>
      <c r="Z72" s="10" t="s">
        <v>496</v>
      </c>
    </row>
    <row r="73" spans="1:26" x14ac:dyDescent="0.2">
      <c r="A73" t="s">
        <v>274</v>
      </c>
      <c r="B73" s="9">
        <f t="shared" si="1"/>
        <v>9</v>
      </c>
      <c r="C73" t="s">
        <v>145</v>
      </c>
      <c r="D73" t="s">
        <v>275</v>
      </c>
      <c r="E73" t="s">
        <v>5</v>
      </c>
      <c r="F73" t="s">
        <v>276</v>
      </c>
      <c r="G73">
        <v>9</v>
      </c>
      <c r="H73">
        <v>1</v>
      </c>
      <c r="I73">
        <v>9</v>
      </c>
      <c r="J73" t="s">
        <v>148</v>
      </c>
      <c r="K73" t="s">
        <v>6</v>
      </c>
      <c r="M73" t="s">
        <v>6</v>
      </c>
      <c r="N73" t="s">
        <v>277</v>
      </c>
      <c r="O73" t="s">
        <v>276</v>
      </c>
      <c r="P73" t="s">
        <v>6</v>
      </c>
      <c r="Q73" t="s">
        <v>239</v>
      </c>
      <c r="R73" t="s">
        <v>6</v>
      </c>
      <c r="S73" t="s">
        <v>6</v>
      </c>
      <c r="T73">
        <v>0.113</v>
      </c>
      <c r="U73" t="s">
        <v>14</v>
      </c>
      <c r="V73" t="s">
        <v>6</v>
      </c>
      <c r="W73" t="s">
        <v>6</v>
      </c>
      <c r="X73" t="s">
        <v>6</v>
      </c>
      <c r="Y73" t="s">
        <v>31</v>
      </c>
      <c r="Z73" s="10" t="s">
        <v>496</v>
      </c>
    </row>
    <row r="74" spans="1:26" x14ac:dyDescent="0.2">
      <c r="A74" t="s">
        <v>278</v>
      </c>
      <c r="B74" s="9">
        <f t="shared" si="1"/>
        <v>9</v>
      </c>
      <c r="C74" t="s">
        <v>145</v>
      </c>
      <c r="D74" t="s">
        <v>279</v>
      </c>
      <c r="E74" t="s">
        <v>5</v>
      </c>
      <c r="F74" t="s">
        <v>280</v>
      </c>
      <c r="G74">
        <v>9</v>
      </c>
      <c r="H74">
        <v>1</v>
      </c>
      <c r="I74">
        <v>9</v>
      </c>
      <c r="J74" t="s">
        <v>148</v>
      </c>
      <c r="K74" t="s">
        <v>6</v>
      </c>
      <c r="M74" t="s">
        <v>6</v>
      </c>
      <c r="N74" t="s">
        <v>281</v>
      </c>
      <c r="O74" t="s">
        <v>280</v>
      </c>
      <c r="P74" t="s">
        <v>6</v>
      </c>
      <c r="Q74" t="s">
        <v>6</v>
      </c>
      <c r="R74" t="s">
        <v>6</v>
      </c>
      <c r="S74" t="s">
        <v>6</v>
      </c>
      <c r="T74">
        <v>0.05</v>
      </c>
      <c r="U74" t="s">
        <v>14</v>
      </c>
      <c r="V74" t="s">
        <v>6</v>
      </c>
      <c r="W74" t="s">
        <v>6</v>
      </c>
      <c r="X74" t="s">
        <v>6</v>
      </c>
      <c r="Y74" t="s">
        <v>31</v>
      </c>
      <c r="Z74" s="10" t="s">
        <v>496</v>
      </c>
    </row>
    <row r="75" spans="1:26" x14ac:dyDescent="0.2">
      <c r="A75" t="s">
        <v>282</v>
      </c>
      <c r="B75" s="9">
        <f t="shared" si="1"/>
        <v>9</v>
      </c>
      <c r="C75" t="s">
        <v>145</v>
      </c>
      <c r="D75" t="s">
        <v>283</v>
      </c>
      <c r="E75" t="s">
        <v>5</v>
      </c>
      <c r="F75" t="s">
        <v>284</v>
      </c>
      <c r="G75">
        <v>9</v>
      </c>
      <c r="H75">
        <v>1</v>
      </c>
      <c r="I75">
        <v>9</v>
      </c>
      <c r="J75" t="s">
        <v>148</v>
      </c>
      <c r="K75" t="s">
        <v>6</v>
      </c>
      <c r="M75" t="s">
        <v>6</v>
      </c>
      <c r="N75" t="s">
        <v>285</v>
      </c>
      <c r="O75" t="s">
        <v>284</v>
      </c>
      <c r="P75" t="s">
        <v>6</v>
      </c>
      <c r="Q75" t="s">
        <v>239</v>
      </c>
      <c r="R75" t="s">
        <v>6</v>
      </c>
      <c r="S75" t="s">
        <v>6</v>
      </c>
      <c r="T75">
        <v>0.1</v>
      </c>
      <c r="U75" t="s">
        <v>14</v>
      </c>
      <c r="V75" t="s">
        <v>6</v>
      </c>
      <c r="W75" t="s">
        <v>6</v>
      </c>
      <c r="X75" t="s">
        <v>6</v>
      </c>
      <c r="Y75" t="s">
        <v>31</v>
      </c>
      <c r="Z75" s="10" t="s">
        <v>496</v>
      </c>
    </row>
    <row r="76" spans="1:26" x14ac:dyDescent="0.2">
      <c r="A76" t="s">
        <v>286</v>
      </c>
      <c r="B76" s="9">
        <f t="shared" si="1"/>
        <v>9</v>
      </c>
      <c r="C76" t="s">
        <v>145</v>
      </c>
      <c r="D76" t="s">
        <v>287</v>
      </c>
      <c r="E76" t="s">
        <v>5</v>
      </c>
      <c r="F76" t="s">
        <v>288</v>
      </c>
      <c r="G76">
        <v>9</v>
      </c>
      <c r="H76">
        <v>1</v>
      </c>
      <c r="I76">
        <v>9</v>
      </c>
      <c r="J76" t="s">
        <v>148</v>
      </c>
      <c r="K76" t="s">
        <v>6</v>
      </c>
      <c r="M76" t="s">
        <v>6</v>
      </c>
      <c r="N76" t="s">
        <v>285</v>
      </c>
      <c r="O76" t="s">
        <v>288</v>
      </c>
      <c r="P76" t="s">
        <v>6</v>
      </c>
      <c r="Q76" t="s">
        <v>239</v>
      </c>
      <c r="R76" t="s">
        <v>6</v>
      </c>
      <c r="S76" t="s">
        <v>6</v>
      </c>
      <c r="T76">
        <v>0.2</v>
      </c>
      <c r="U76" t="s">
        <v>14</v>
      </c>
      <c r="V76" t="s">
        <v>6</v>
      </c>
      <c r="W76" t="s">
        <v>6</v>
      </c>
      <c r="X76" t="s">
        <v>6</v>
      </c>
      <c r="Y76" t="s">
        <v>31</v>
      </c>
      <c r="Z76" s="10" t="s">
        <v>496</v>
      </c>
    </row>
    <row r="77" spans="1:26" x14ac:dyDescent="0.2">
      <c r="A77" t="s">
        <v>289</v>
      </c>
      <c r="B77" s="9">
        <f t="shared" si="1"/>
        <v>9</v>
      </c>
      <c r="C77" t="s">
        <v>145</v>
      </c>
      <c r="D77" t="s">
        <v>290</v>
      </c>
      <c r="E77" t="s">
        <v>5</v>
      </c>
      <c r="F77" t="s">
        <v>291</v>
      </c>
      <c r="G77">
        <v>9</v>
      </c>
      <c r="H77">
        <v>1</v>
      </c>
      <c r="I77">
        <v>9</v>
      </c>
      <c r="J77" t="s">
        <v>148</v>
      </c>
      <c r="K77" t="s">
        <v>6</v>
      </c>
      <c r="M77" t="s">
        <v>6</v>
      </c>
      <c r="N77" t="s">
        <v>285</v>
      </c>
      <c r="O77" t="s">
        <v>292</v>
      </c>
      <c r="P77" t="s">
        <v>6</v>
      </c>
      <c r="Q77" t="s">
        <v>239</v>
      </c>
      <c r="R77" t="s">
        <v>6</v>
      </c>
      <c r="S77" t="s">
        <v>6</v>
      </c>
      <c r="T77">
        <v>0.01</v>
      </c>
      <c r="U77" t="s">
        <v>14</v>
      </c>
      <c r="V77" t="s">
        <v>6</v>
      </c>
      <c r="W77" t="s">
        <v>6</v>
      </c>
      <c r="X77" t="s">
        <v>6</v>
      </c>
      <c r="Y77" t="s">
        <v>31</v>
      </c>
      <c r="Z77" s="10" t="s">
        <v>496</v>
      </c>
    </row>
    <row r="78" spans="1:26" x14ac:dyDescent="0.2">
      <c r="A78" t="s">
        <v>293</v>
      </c>
      <c r="B78" s="9">
        <f t="shared" si="1"/>
        <v>18</v>
      </c>
      <c r="C78" t="s">
        <v>145</v>
      </c>
      <c r="D78" t="s">
        <v>294</v>
      </c>
      <c r="E78" t="s">
        <v>5</v>
      </c>
      <c r="F78" t="s">
        <v>295</v>
      </c>
      <c r="G78">
        <v>18</v>
      </c>
      <c r="H78">
        <v>1</v>
      </c>
      <c r="I78">
        <v>18</v>
      </c>
      <c r="J78" t="s">
        <v>148</v>
      </c>
      <c r="K78" t="s">
        <v>6</v>
      </c>
      <c r="M78" t="s">
        <v>6</v>
      </c>
      <c r="N78" t="s">
        <v>285</v>
      </c>
      <c r="O78" t="s">
        <v>296</v>
      </c>
      <c r="P78" t="s">
        <v>6</v>
      </c>
      <c r="Q78" t="s">
        <v>239</v>
      </c>
      <c r="R78" t="s">
        <v>6</v>
      </c>
      <c r="S78" t="s">
        <v>6</v>
      </c>
      <c r="T78">
        <v>0.01</v>
      </c>
      <c r="U78" t="s">
        <v>14</v>
      </c>
      <c r="V78" t="s">
        <v>6</v>
      </c>
      <c r="W78" t="s">
        <v>6</v>
      </c>
      <c r="X78" t="s">
        <v>6</v>
      </c>
      <c r="Y78" t="s">
        <v>31</v>
      </c>
      <c r="Z78" s="10" t="s">
        <v>496</v>
      </c>
    </row>
    <row r="79" spans="1:26" x14ac:dyDescent="0.2">
      <c r="A79" t="s">
        <v>297</v>
      </c>
      <c r="B79" s="9">
        <f t="shared" si="1"/>
        <v>9</v>
      </c>
      <c r="C79" t="s">
        <v>145</v>
      </c>
      <c r="D79" t="s">
        <v>298</v>
      </c>
      <c r="E79" t="s">
        <v>5</v>
      </c>
      <c r="F79" t="s">
        <v>299</v>
      </c>
      <c r="G79">
        <v>9</v>
      </c>
      <c r="H79">
        <v>1</v>
      </c>
      <c r="I79">
        <v>9</v>
      </c>
      <c r="J79" t="s">
        <v>148</v>
      </c>
      <c r="K79" t="s">
        <v>6</v>
      </c>
      <c r="M79" t="s">
        <v>6</v>
      </c>
      <c r="N79" t="s">
        <v>175</v>
      </c>
      <c r="O79" t="s">
        <v>299</v>
      </c>
      <c r="P79" t="s">
        <v>300</v>
      </c>
      <c r="Q79" t="s">
        <v>6</v>
      </c>
      <c r="R79" t="s">
        <v>6</v>
      </c>
      <c r="S79" t="s">
        <v>6</v>
      </c>
      <c r="T79">
        <v>0.04</v>
      </c>
      <c r="U79" t="s">
        <v>14</v>
      </c>
      <c r="V79" t="s">
        <v>6</v>
      </c>
      <c r="W79" t="s">
        <v>6</v>
      </c>
      <c r="X79" t="s">
        <v>6</v>
      </c>
      <c r="Y79" t="s">
        <v>31</v>
      </c>
      <c r="Z79" s="10" t="s">
        <v>496</v>
      </c>
    </row>
    <row r="80" spans="1:26" x14ac:dyDescent="0.2">
      <c r="A80" t="s">
        <v>301</v>
      </c>
      <c r="B80" s="9">
        <f t="shared" si="1"/>
        <v>9</v>
      </c>
      <c r="C80" t="s">
        <v>145</v>
      </c>
      <c r="D80" t="s">
        <v>302</v>
      </c>
      <c r="E80" t="s">
        <v>5</v>
      </c>
      <c r="F80" t="s">
        <v>303</v>
      </c>
      <c r="G80">
        <v>9</v>
      </c>
      <c r="H80">
        <v>1</v>
      </c>
      <c r="I80">
        <v>9</v>
      </c>
      <c r="J80" t="s">
        <v>148</v>
      </c>
      <c r="K80" t="s">
        <v>6</v>
      </c>
      <c r="M80" t="s">
        <v>6</v>
      </c>
      <c r="N80" t="s">
        <v>304</v>
      </c>
      <c r="O80" t="s">
        <v>303</v>
      </c>
      <c r="P80" t="s">
        <v>6</v>
      </c>
      <c r="Q80" t="s">
        <v>6</v>
      </c>
      <c r="R80" t="s">
        <v>6</v>
      </c>
      <c r="S80" t="s">
        <v>6</v>
      </c>
      <c r="T80">
        <v>0</v>
      </c>
      <c r="U80" t="s">
        <v>14</v>
      </c>
      <c r="V80" t="s">
        <v>6</v>
      </c>
      <c r="W80" t="s">
        <v>6</v>
      </c>
      <c r="X80" t="s">
        <v>6</v>
      </c>
      <c r="Y80" t="s">
        <v>31</v>
      </c>
      <c r="Z80" s="10" t="s">
        <v>496</v>
      </c>
    </row>
    <row r="81" spans="1:26" x14ac:dyDescent="0.2">
      <c r="A81" t="s">
        <v>305</v>
      </c>
      <c r="B81" s="9">
        <f t="shared" si="1"/>
        <v>9</v>
      </c>
      <c r="C81" t="s">
        <v>145</v>
      </c>
      <c r="D81" t="s">
        <v>306</v>
      </c>
      <c r="E81" t="s">
        <v>5</v>
      </c>
      <c r="F81" t="s">
        <v>307</v>
      </c>
      <c r="G81">
        <v>9</v>
      </c>
      <c r="H81">
        <v>1</v>
      </c>
      <c r="I81">
        <v>9</v>
      </c>
      <c r="J81" t="s">
        <v>148</v>
      </c>
      <c r="K81" t="s">
        <v>6</v>
      </c>
      <c r="M81" t="s">
        <v>6</v>
      </c>
      <c r="N81" t="s">
        <v>308</v>
      </c>
      <c r="O81" t="s">
        <v>307</v>
      </c>
      <c r="P81" t="s">
        <v>6</v>
      </c>
      <c r="Q81" t="s">
        <v>6</v>
      </c>
      <c r="R81" t="s">
        <v>6</v>
      </c>
      <c r="S81" t="s">
        <v>6</v>
      </c>
      <c r="T81">
        <v>3.0000000000000001E-3</v>
      </c>
      <c r="U81" t="s">
        <v>14</v>
      </c>
      <c r="V81" t="s">
        <v>6</v>
      </c>
      <c r="W81" t="s">
        <v>6</v>
      </c>
      <c r="X81" t="s">
        <v>6</v>
      </c>
      <c r="Y81" t="s">
        <v>31</v>
      </c>
      <c r="Z81" s="10" t="s">
        <v>496</v>
      </c>
    </row>
    <row r="82" spans="1:26" x14ac:dyDescent="0.2">
      <c r="A82" t="s">
        <v>309</v>
      </c>
      <c r="B82" s="9">
        <f t="shared" si="1"/>
        <v>9</v>
      </c>
      <c r="C82" t="s">
        <v>145</v>
      </c>
      <c r="D82" t="s">
        <v>310</v>
      </c>
      <c r="E82" t="s">
        <v>5</v>
      </c>
      <c r="F82" t="s">
        <v>311</v>
      </c>
      <c r="G82">
        <v>9</v>
      </c>
      <c r="H82">
        <v>1</v>
      </c>
      <c r="I82">
        <v>9</v>
      </c>
      <c r="J82" t="s">
        <v>148</v>
      </c>
      <c r="K82" t="s">
        <v>6</v>
      </c>
      <c r="M82" t="s">
        <v>6</v>
      </c>
      <c r="N82" t="s">
        <v>248</v>
      </c>
      <c r="O82" t="s">
        <v>311</v>
      </c>
      <c r="P82" t="s">
        <v>6</v>
      </c>
      <c r="Q82" t="s">
        <v>6</v>
      </c>
      <c r="R82" t="s">
        <v>6</v>
      </c>
      <c r="S82" t="s">
        <v>6</v>
      </c>
      <c r="T82">
        <v>3.3E-3</v>
      </c>
      <c r="U82" t="s">
        <v>14</v>
      </c>
      <c r="V82" t="s">
        <v>6</v>
      </c>
      <c r="W82" t="s">
        <v>6</v>
      </c>
      <c r="X82" t="s">
        <v>6</v>
      </c>
      <c r="Y82" t="s">
        <v>31</v>
      </c>
      <c r="Z82" s="10" t="s">
        <v>496</v>
      </c>
    </row>
    <row r="83" spans="1:26" x14ac:dyDescent="0.2">
      <c r="A83" t="s">
        <v>312</v>
      </c>
      <c r="B83" s="9">
        <f t="shared" si="1"/>
        <v>9</v>
      </c>
      <c r="C83" t="s">
        <v>145</v>
      </c>
      <c r="D83" t="s">
        <v>313</v>
      </c>
      <c r="E83" t="s">
        <v>5</v>
      </c>
      <c r="F83" t="s">
        <v>314</v>
      </c>
      <c r="G83">
        <v>9</v>
      </c>
      <c r="H83">
        <v>1</v>
      </c>
      <c r="I83">
        <v>9</v>
      </c>
      <c r="J83" t="s">
        <v>148</v>
      </c>
      <c r="K83" t="s">
        <v>6</v>
      </c>
      <c r="M83" t="s">
        <v>6</v>
      </c>
      <c r="N83" t="s">
        <v>175</v>
      </c>
      <c r="O83" t="s">
        <v>314</v>
      </c>
      <c r="P83" t="s">
        <v>315</v>
      </c>
      <c r="Q83" t="s">
        <v>6</v>
      </c>
      <c r="R83" t="s">
        <v>6</v>
      </c>
      <c r="S83" t="s">
        <v>6</v>
      </c>
      <c r="T83">
        <v>0.11</v>
      </c>
      <c r="U83" t="s">
        <v>14</v>
      </c>
      <c r="V83" t="s">
        <v>6</v>
      </c>
      <c r="W83" t="s">
        <v>6</v>
      </c>
      <c r="X83" t="s">
        <v>6</v>
      </c>
      <c r="Y83" t="s">
        <v>31</v>
      </c>
      <c r="Z83" s="10" t="s">
        <v>496</v>
      </c>
    </row>
    <row r="84" spans="1:26" x14ac:dyDescent="0.2">
      <c r="A84" t="s">
        <v>316</v>
      </c>
      <c r="B84" s="9">
        <f t="shared" si="1"/>
        <v>9</v>
      </c>
      <c r="C84" t="s">
        <v>145</v>
      </c>
      <c r="D84" t="s">
        <v>317</v>
      </c>
      <c r="E84" t="s">
        <v>5</v>
      </c>
      <c r="F84" t="s">
        <v>318</v>
      </c>
      <c r="G84">
        <v>9</v>
      </c>
      <c r="H84">
        <v>1</v>
      </c>
      <c r="I84">
        <v>9</v>
      </c>
      <c r="J84" t="s">
        <v>148</v>
      </c>
      <c r="K84" t="s">
        <v>6</v>
      </c>
      <c r="M84" t="s">
        <v>6</v>
      </c>
      <c r="N84" t="s">
        <v>319</v>
      </c>
      <c r="O84" t="s">
        <v>318</v>
      </c>
      <c r="P84" t="s">
        <v>6</v>
      </c>
      <c r="Q84" t="s">
        <v>6</v>
      </c>
      <c r="R84" t="s">
        <v>6</v>
      </c>
      <c r="S84" t="s">
        <v>6</v>
      </c>
      <c r="T84">
        <v>0.115</v>
      </c>
      <c r="U84" t="s">
        <v>14</v>
      </c>
      <c r="V84" t="s">
        <v>6</v>
      </c>
      <c r="W84" t="s">
        <v>6</v>
      </c>
      <c r="X84" t="s">
        <v>6</v>
      </c>
      <c r="Y84" t="s">
        <v>31</v>
      </c>
      <c r="Z84" s="10" t="s">
        <v>496</v>
      </c>
    </row>
    <row r="85" spans="1:26" x14ac:dyDescent="0.2">
      <c r="A85" t="s">
        <v>320</v>
      </c>
      <c r="B85" s="9">
        <f t="shared" si="1"/>
        <v>9</v>
      </c>
      <c r="C85" t="s">
        <v>145</v>
      </c>
      <c r="D85" t="s">
        <v>321</v>
      </c>
      <c r="E85" t="s">
        <v>5</v>
      </c>
      <c r="F85" t="s">
        <v>322</v>
      </c>
      <c r="G85">
        <v>9</v>
      </c>
      <c r="H85">
        <v>1</v>
      </c>
      <c r="I85">
        <v>9</v>
      </c>
      <c r="J85" t="s">
        <v>148</v>
      </c>
      <c r="K85" t="s">
        <v>6</v>
      </c>
      <c r="M85" t="s">
        <v>6</v>
      </c>
      <c r="N85" t="s">
        <v>175</v>
      </c>
      <c r="O85" t="s">
        <v>323</v>
      </c>
      <c r="P85" t="s">
        <v>324</v>
      </c>
      <c r="Q85" t="s">
        <v>6</v>
      </c>
      <c r="R85" t="s">
        <v>6</v>
      </c>
      <c r="S85" t="s">
        <v>6</v>
      </c>
      <c r="T85">
        <v>3.10411862197999E-3</v>
      </c>
      <c r="U85" t="s">
        <v>14</v>
      </c>
      <c r="V85" t="s">
        <v>6</v>
      </c>
      <c r="W85" t="s">
        <v>6</v>
      </c>
      <c r="X85" t="s">
        <v>6</v>
      </c>
      <c r="Y85" t="s">
        <v>31</v>
      </c>
      <c r="Z85" s="10" t="s">
        <v>496</v>
      </c>
    </row>
    <row r="86" spans="1:26" x14ac:dyDescent="0.2">
      <c r="A86" t="s">
        <v>325</v>
      </c>
      <c r="B86" s="9">
        <f t="shared" si="1"/>
        <v>9</v>
      </c>
      <c r="C86" t="s">
        <v>145</v>
      </c>
      <c r="D86" t="s">
        <v>326</v>
      </c>
      <c r="E86" t="s">
        <v>5</v>
      </c>
      <c r="F86" t="s">
        <v>327</v>
      </c>
      <c r="G86">
        <v>9</v>
      </c>
      <c r="H86">
        <v>1</v>
      </c>
      <c r="I86">
        <v>9</v>
      </c>
      <c r="J86" t="s">
        <v>148</v>
      </c>
      <c r="K86" t="s">
        <v>6</v>
      </c>
      <c r="M86" t="s">
        <v>6</v>
      </c>
      <c r="N86" t="s">
        <v>328</v>
      </c>
      <c r="O86" t="s">
        <v>327</v>
      </c>
      <c r="P86" t="s">
        <v>6</v>
      </c>
      <c r="Q86" t="s">
        <v>239</v>
      </c>
      <c r="R86" t="s">
        <v>6</v>
      </c>
      <c r="S86" t="s">
        <v>6</v>
      </c>
      <c r="T86">
        <v>0</v>
      </c>
      <c r="U86" t="s">
        <v>14</v>
      </c>
      <c r="V86" t="s">
        <v>6</v>
      </c>
      <c r="W86" t="s">
        <v>6</v>
      </c>
      <c r="X86" t="s">
        <v>6</v>
      </c>
      <c r="Y86" t="s">
        <v>31</v>
      </c>
      <c r="Z86" s="10" t="s">
        <v>496</v>
      </c>
    </row>
    <row r="87" spans="1:26" x14ac:dyDescent="0.2">
      <c r="A87" t="s">
        <v>329</v>
      </c>
      <c r="B87" s="9">
        <f t="shared" si="1"/>
        <v>9</v>
      </c>
      <c r="C87" t="s">
        <v>145</v>
      </c>
      <c r="D87" t="s">
        <v>330</v>
      </c>
      <c r="E87" t="s">
        <v>5</v>
      </c>
      <c r="F87" t="s">
        <v>331</v>
      </c>
      <c r="G87">
        <v>9</v>
      </c>
      <c r="H87">
        <v>1</v>
      </c>
      <c r="I87">
        <v>9</v>
      </c>
      <c r="J87" t="s">
        <v>148</v>
      </c>
      <c r="K87" t="s">
        <v>6</v>
      </c>
      <c r="M87" t="s">
        <v>6</v>
      </c>
      <c r="N87" t="s">
        <v>175</v>
      </c>
      <c r="O87" t="s">
        <v>331</v>
      </c>
      <c r="P87" t="s">
        <v>332</v>
      </c>
      <c r="Q87" t="s">
        <v>6</v>
      </c>
      <c r="R87" t="s">
        <v>6</v>
      </c>
      <c r="S87" t="s">
        <v>6</v>
      </c>
      <c r="T87">
        <v>0.14499999999999999</v>
      </c>
      <c r="U87" t="s">
        <v>14</v>
      </c>
      <c r="V87" t="s">
        <v>6</v>
      </c>
      <c r="W87" t="s">
        <v>6</v>
      </c>
      <c r="X87" t="s">
        <v>6</v>
      </c>
      <c r="Y87" t="s">
        <v>31</v>
      </c>
      <c r="Z87" s="10" t="s">
        <v>496</v>
      </c>
    </row>
    <row r="88" spans="1:26" x14ac:dyDescent="0.2">
      <c r="A88" t="s">
        <v>333</v>
      </c>
      <c r="B88" s="9">
        <f t="shared" si="1"/>
        <v>9</v>
      </c>
      <c r="C88" t="s">
        <v>145</v>
      </c>
      <c r="D88" t="s">
        <v>334</v>
      </c>
      <c r="E88" t="s">
        <v>5</v>
      </c>
      <c r="F88" t="s">
        <v>335</v>
      </c>
      <c r="G88">
        <v>9</v>
      </c>
      <c r="H88">
        <v>1</v>
      </c>
      <c r="I88">
        <v>9</v>
      </c>
      <c r="J88" t="s">
        <v>148</v>
      </c>
      <c r="K88" t="s">
        <v>6</v>
      </c>
      <c r="M88" t="s">
        <v>6</v>
      </c>
      <c r="N88" t="s">
        <v>328</v>
      </c>
      <c r="O88" t="s">
        <v>335</v>
      </c>
      <c r="P88" t="s">
        <v>6</v>
      </c>
      <c r="Q88" t="s">
        <v>6</v>
      </c>
      <c r="R88" t="s">
        <v>6</v>
      </c>
      <c r="S88" t="s">
        <v>6</v>
      </c>
      <c r="T88">
        <v>0</v>
      </c>
      <c r="U88" t="s">
        <v>14</v>
      </c>
      <c r="V88" t="s">
        <v>6</v>
      </c>
      <c r="W88" t="s">
        <v>6</v>
      </c>
      <c r="X88" t="s">
        <v>6</v>
      </c>
      <c r="Y88" t="s">
        <v>31</v>
      </c>
      <c r="Z88" s="10" t="s">
        <v>496</v>
      </c>
    </row>
    <row r="89" spans="1:26" x14ac:dyDescent="0.2">
      <c r="A89" t="s">
        <v>336</v>
      </c>
      <c r="B89" s="9">
        <f t="shared" si="1"/>
        <v>1314</v>
      </c>
      <c r="C89" t="s">
        <v>145</v>
      </c>
      <c r="D89" t="s">
        <v>337</v>
      </c>
      <c r="E89" t="s">
        <v>5</v>
      </c>
      <c r="F89" t="s">
        <v>338</v>
      </c>
      <c r="G89">
        <v>1314</v>
      </c>
      <c r="H89">
        <v>1</v>
      </c>
      <c r="I89">
        <v>1314</v>
      </c>
      <c r="J89" t="s">
        <v>148</v>
      </c>
      <c r="K89" t="s">
        <v>6</v>
      </c>
      <c r="M89" t="s">
        <v>6</v>
      </c>
      <c r="N89" t="s">
        <v>175</v>
      </c>
      <c r="O89" t="s">
        <v>338</v>
      </c>
      <c r="P89" t="s">
        <v>339</v>
      </c>
      <c r="Q89" t="s">
        <v>6</v>
      </c>
      <c r="R89" t="s">
        <v>6</v>
      </c>
      <c r="S89" t="s">
        <v>6</v>
      </c>
      <c r="T89">
        <v>1E-3</v>
      </c>
      <c r="U89" t="s">
        <v>14</v>
      </c>
      <c r="V89" t="s">
        <v>6</v>
      </c>
      <c r="W89" t="s">
        <v>6</v>
      </c>
      <c r="X89" t="s">
        <v>6</v>
      </c>
      <c r="Y89" t="s">
        <v>31</v>
      </c>
      <c r="Z89" s="10" t="s">
        <v>496</v>
      </c>
    </row>
    <row r="90" spans="1:26" x14ac:dyDescent="0.2">
      <c r="A90" t="s">
        <v>340</v>
      </c>
      <c r="B90" s="9">
        <f t="shared" si="1"/>
        <v>9</v>
      </c>
      <c r="C90" t="s">
        <v>145</v>
      </c>
      <c r="D90" t="s">
        <v>341</v>
      </c>
      <c r="E90" t="s">
        <v>5</v>
      </c>
      <c r="F90" t="s">
        <v>342</v>
      </c>
      <c r="G90">
        <v>9</v>
      </c>
      <c r="H90">
        <v>1</v>
      </c>
      <c r="I90">
        <v>9</v>
      </c>
      <c r="J90" t="s">
        <v>148</v>
      </c>
      <c r="K90" t="s">
        <v>6</v>
      </c>
      <c r="M90" t="s">
        <v>6</v>
      </c>
      <c r="N90" t="s">
        <v>319</v>
      </c>
      <c r="O90" t="s">
        <v>343</v>
      </c>
      <c r="P90" t="s">
        <v>6</v>
      </c>
      <c r="Q90" t="s">
        <v>6</v>
      </c>
      <c r="R90" t="s">
        <v>6</v>
      </c>
      <c r="S90" t="s">
        <v>6</v>
      </c>
      <c r="T90">
        <v>6.5000000000000002E-2</v>
      </c>
      <c r="U90" t="s">
        <v>14</v>
      </c>
      <c r="V90" t="s">
        <v>6</v>
      </c>
      <c r="W90" t="s">
        <v>6</v>
      </c>
      <c r="X90" t="s">
        <v>6</v>
      </c>
      <c r="Y90" t="s">
        <v>31</v>
      </c>
      <c r="Z90" s="10" t="s">
        <v>496</v>
      </c>
    </row>
    <row r="91" spans="1:26" x14ac:dyDescent="0.2">
      <c r="A91" t="s">
        <v>344</v>
      </c>
      <c r="B91" s="9">
        <f t="shared" si="1"/>
        <v>9</v>
      </c>
      <c r="C91" t="s">
        <v>145</v>
      </c>
      <c r="D91" t="s">
        <v>345</v>
      </c>
      <c r="E91" t="s">
        <v>5</v>
      </c>
      <c r="F91" t="s">
        <v>346</v>
      </c>
      <c r="G91">
        <v>9</v>
      </c>
      <c r="H91">
        <v>1</v>
      </c>
      <c r="I91">
        <v>9</v>
      </c>
      <c r="J91" t="s">
        <v>148</v>
      </c>
      <c r="K91" t="s">
        <v>6</v>
      </c>
      <c r="M91" t="s">
        <v>6</v>
      </c>
      <c r="N91" t="s">
        <v>347</v>
      </c>
      <c r="O91" t="s">
        <v>346</v>
      </c>
      <c r="P91" t="s">
        <v>6</v>
      </c>
      <c r="Q91" t="s">
        <v>6</v>
      </c>
      <c r="R91" t="s">
        <v>6</v>
      </c>
      <c r="S91" t="s">
        <v>6</v>
      </c>
      <c r="T91">
        <v>1E-3</v>
      </c>
      <c r="U91" t="s">
        <v>14</v>
      </c>
      <c r="V91" t="s">
        <v>6</v>
      </c>
      <c r="W91" t="s">
        <v>6</v>
      </c>
      <c r="X91" t="s">
        <v>6</v>
      </c>
      <c r="Y91" t="s">
        <v>31</v>
      </c>
      <c r="Z91" s="10" t="s">
        <v>496</v>
      </c>
    </row>
    <row r="92" spans="1:26" x14ac:dyDescent="0.2">
      <c r="A92" t="s">
        <v>348</v>
      </c>
      <c r="B92" s="9">
        <f t="shared" si="1"/>
        <v>9</v>
      </c>
      <c r="C92" t="s">
        <v>145</v>
      </c>
      <c r="D92" t="s">
        <v>349</v>
      </c>
      <c r="E92" t="s">
        <v>5</v>
      </c>
      <c r="F92" t="s">
        <v>350</v>
      </c>
      <c r="G92">
        <v>9</v>
      </c>
      <c r="H92">
        <v>1</v>
      </c>
      <c r="I92">
        <v>9</v>
      </c>
      <c r="J92" t="s">
        <v>148</v>
      </c>
      <c r="K92" t="s">
        <v>6</v>
      </c>
      <c r="M92" t="s">
        <v>6</v>
      </c>
      <c r="N92" t="s">
        <v>270</v>
      </c>
      <c r="O92" t="s">
        <v>350</v>
      </c>
      <c r="P92" t="s">
        <v>6</v>
      </c>
      <c r="Q92" t="s">
        <v>6</v>
      </c>
      <c r="R92" t="s">
        <v>6</v>
      </c>
      <c r="S92" t="s">
        <v>6</v>
      </c>
      <c r="T92">
        <v>9.2999999999999999E-2</v>
      </c>
      <c r="U92" t="s">
        <v>14</v>
      </c>
      <c r="V92" t="s">
        <v>6</v>
      </c>
      <c r="W92" t="s">
        <v>6</v>
      </c>
      <c r="X92" t="s">
        <v>6</v>
      </c>
      <c r="Y92" t="s">
        <v>31</v>
      </c>
      <c r="Z92" s="10" t="s">
        <v>496</v>
      </c>
    </row>
    <row r="93" spans="1:26" x14ac:dyDescent="0.2">
      <c r="A93" t="s">
        <v>351</v>
      </c>
      <c r="B93" s="9">
        <f t="shared" si="1"/>
        <v>9</v>
      </c>
      <c r="C93" t="s">
        <v>145</v>
      </c>
      <c r="D93" t="s">
        <v>352</v>
      </c>
      <c r="E93" t="s">
        <v>5</v>
      </c>
      <c r="F93" t="s">
        <v>353</v>
      </c>
      <c r="G93">
        <v>9</v>
      </c>
      <c r="H93">
        <v>1</v>
      </c>
      <c r="I93">
        <v>9</v>
      </c>
      <c r="J93" t="s">
        <v>148</v>
      </c>
      <c r="K93" t="s">
        <v>6</v>
      </c>
      <c r="M93" t="s">
        <v>6</v>
      </c>
      <c r="N93" t="s">
        <v>270</v>
      </c>
      <c r="O93" t="s">
        <v>353</v>
      </c>
      <c r="P93" t="s">
        <v>6</v>
      </c>
      <c r="Q93" t="s">
        <v>6</v>
      </c>
      <c r="R93" t="s">
        <v>6</v>
      </c>
      <c r="S93" t="s">
        <v>6</v>
      </c>
      <c r="T93">
        <v>2.3E-2</v>
      </c>
      <c r="U93" t="s">
        <v>14</v>
      </c>
      <c r="V93" t="s">
        <v>6</v>
      </c>
      <c r="W93" t="s">
        <v>6</v>
      </c>
      <c r="X93" t="s">
        <v>6</v>
      </c>
      <c r="Y93" t="s">
        <v>31</v>
      </c>
      <c r="Z93" s="10" t="s">
        <v>496</v>
      </c>
    </row>
    <row r="94" spans="1:26" x14ac:dyDescent="0.2">
      <c r="A94" t="s">
        <v>354</v>
      </c>
      <c r="B94" s="9">
        <f t="shared" si="1"/>
        <v>9</v>
      </c>
      <c r="C94" t="s">
        <v>145</v>
      </c>
      <c r="D94" t="s">
        <v>355</v>
      </c>
      <c r="E94" t="s">
        <v>5</v>
      </c>
      <c r="F94" t="s">
        <v>356</v>
      </c>
      <c r="G94">
        <v>9</v>
      </c>
      <c r="H94">
        <v>1</v>
      </c>
      <c r="I94">
        <v>9</v>
      </c>
      <c r="J94" t="s">
        <v>148</v>
      </c>
      <c r="K94" t="s">
        <v>6</v>
      </c>
      <c r="M94" t="s">
        <v>6</v>
      </c>
      <c r="N94" t="s">
        <v>357</v>
      </c>
      <c r="O94" t="s">
        <v>356</v>
      </c>
      <c r="P94" t="s">
        <v>6</v>
      </c>
      <c r="Q94" t="s">
        <v>358</v>
      </c>
      <c r="R94" t="s">
        <v>6</v>
      </c>
      <c r="S94" t="s">
        <v>6</v>
      </c>
      <c r="T94">
        <v>0.16</v>
      </c>
      <c r="U94" t="s">
        <v>14</v>
      </c>
      <c r="V94" t="s">
        <v>6</v>
      </c>
      <c r="W94" t="s">
        <v>6</v>
      </c>
      <c r="X94" t="s">
        <v>6</v>
      </c>
      <c r="Y94" t="s">
        <v>31</v>
      </c>
      <c r="Z94" s="10" t="s">
        <v>496</v>
      </c>
    </row>
    <row r="95" spans="1:26" x14ac:dyDescent="0.2">
      <c r="A95" t="s">
        <v>359</v>
      </c>
      <c r="B95" s="9">
        <f t="shared" si="1"/>
        <v>9</v>
      </c>
      <c r="C95" t="s">
        <v>145</v>
      </c>
      <c r="D95" t="s">
        <v>360</v>
      </c>
      <c r="E95" t="s">
        <v>5</v>
      </c>
      <c r="F95" t="s">
        <v>361</v>
      </c>
      <c r="G95">
        <v>9</v>
      </c>
      <c r="H95">
        <v>1</v>
      </c>
      <c r="I95">
        <v>9</v>
      </c>
      <c r="J95" t="s">
        <v>148</v>
      </c>
      <c r="K95" t="s">
        <v>6</v>
      </c>
      <c r="M95" t="s">
        <v>6</v>
      </c>
      <c r="N95" t="s">
        <v>262</v>
      </c>
      <c r="O95" t="s">
        <v>361</v>
      </c>
      <c r="P95" t="s">
        <v>6</v>
      </c>
      <c r="Q95" t="s">
        <v>239</v>
      </c>
      <c r="R95" t="s">
        <v>6</v>
      </c>
      <c r="S95" t="s">
        <v>6</v>
      </c>
      <c r="T95">
        <v>6.5000000000000002E-2</v>
      </c>
      <c r="U95" t="s">
        <v>14</v>
      </c>
      <c r="V95" t="s">
        <v>6</v>
      </c>
      <c r="W95" t="s">
        <v>6</v>
      </c>
      <c r="X95" t="s">
        <v>6</v>
      </c>
      <c r="Y95" t="s">
        <v>31</v>
      </c>
      <c r="Z95" s="10" t="s">
        <v>496</v>
      </c>
    </row>
    <row r="96" spans="1:26" x14ac:dyDescent="0.2">
      <c r="A96" t="s">
        <v>362</v>
      </c>
      <c r="B96" s="9">
        <f t="shared" si="1"/>
        <v>9</v>
      </c>
      <c r="C96" t="s">
        <v>145</v>
      </c>
      <c r="D96" t="s">
        <v>363</v>
      </c>
      <c r="E96" t="s">
        <v>5</v>
      </c>
      <c r="F96" t="s">
        <v>364</v>
      </c>
      <c r="G96">
        <v>9</v>
      </c>
      <c r="H96">
        <v>1</v>
      </c>
      <c r="I96">
        <v>9</v>
      </c>
      <c r="J96" t="s">
        <v>148</v>
      </c>
      <c r="K96" t="s">
        <v>6</v>
      </c>
      <c r="M96" t="s">
        <v>6</v>
      </c>
      <c r="N96" t="s">
        <v>365</v>
      </c>
      <c r="O96" t="s">
        <v>364</v>
      </c>
      <c r="P96" t="s">
        <v>6</v>
      </c>
      <c r="Q96" t="s">
        <v>358</v>
      </c>
      <c r="R96" t="s">
        <v>6</v>
      </c>
      <c r="S96" t="s">
        <v>6</v>
      </c>
      <c r="T96">
        <v>1.1000000000000001</v>
      </c>
      <c r="U96" t="s">
        <v>14</v>
      </c>
      <c r="V96" t="s">
        <v>6</v>
      </c>
      <c r="W96" t="s">
        <v>6</v>
      </c>
      <c r="X96" t="s">
        <v>6</v>
      </c>
      <c r="Y96" t="s">
        <v>31</v>
      </c>
      <c r="Z96" s="10" t="s">
        <v>496</v>
      </c>
    </row>
    <row r="97" spans="1:26" x14ac:dyDescent="0.2">
      <c r="A97" t="s">
        <v>366</v>
      </c>
      <c r="B97" s="9">
        <f t="shared" si="1"/>
        <v>9</v>
      </c>
      <c r="C97" t="s">
        <v>145</v>
      </c>
      <c r="D97" t="s">
        <v>367</v>
      </c>
      <c r="E97" t="s">
        <v>5</v>
      </c>
      <c r="F97" t="s">
        <v>368</v>
      </c>
      <c r="G97">
        <v>9</v>
      </c>
      <c r="H97">
        <v>1</v>
      </c>
      <c r="I97">
        <v>9</v>
      </c>
      <c r="J97" t="s">
        <v>148</v>
      </c>
      <c r="K97" t="s">
        <v>6</v>
      </c>
      <c r="M97" t="s">
        <v>6</v>
      </c>
      <c r="N97" t="s">
        <v>357</v>
      </c>
      <c r="O97" t="s">
        <v>368</v>
      </c>
      <c r="P97" t="s">
        <v>6</v>
      </c>
      <c r="Q97" t="s">
        <v>358</v>
      </c>
      <c r="R97" t="s">
        <v>6</v>
      </c>
      <c r="S97" t="s">
        <v>6</v>
      </c>
      <c r="T97">
        <v>0.25</v>
      </c>
      <c r="U97" t="s">
        <v>14</v>
      </c>
      <c r="V97" t="s">
        <v>6</v>
      </c>
      <c r="W97" t="s">
        <v>6</v>
      </c>
      <c r="X97" t="s">
        <v>6</v>
      </c>
      <c r="Y97" t="s">
        <v>31</v>
      </c>
      <c r="Z97" s="10" t="s">
        <v>496</v>
      </c>
    </row>
    <row r="98" spans="1:26" x14ac:dyDescent="0.2">
      <c r="A98" t="s">
        <v>369</v>
      </c>
      <c r="B98" s="9">
        <f t="shared" si="1"/>
        <v>9</v>
      </c>
      <c r="C98" t="s">
        <v>145</v>
      </c>
      <c r="D98" t="s">
        <v>370</v>
      </c>
      <c r="E98" t="s">
        <v>5</v>
      </c>
      <c r="F98" t="s">
        <v>371</v>
      </c>
      <c r="G98">
        <v>9</v>
      </c>
      <c r="H98">
        <v>1</v>
      </c>
      <c r="I98">
        <v>9</v>
      </c>
      <c r="J98" t="s">
        <v>148</v>
      </c>
      <c r="K98" t="s">
        <v>6</v>
      </c>
      <c r="M98" t="s">
        <v>6</v>
      </c>
      <c r="N98" t="s">
        <v>357</v>
      </c>
      <c r="O98" t="s">
        <v>371</v>
      </c>
      <c r="P98" t="s">
        <v>6</v>
      </c>
      <c r="Q98" t="s">
        <v>358</v>
      </c>
      <c r="R98" t="s">
        <v>6</v>
      </c>
      <c r="S98" t="s">
        <v>6</v>
      </c>
      <c r="T98">
        <v>0.25</v>
      </c>
      <c r="U98" t="s">
        <v>14</v>
      </c>
      <c r="V98" t="s">
        <v>6</v>
      </c>
      <c r="W98" t="s">
        <v>6</v>
      </c>
      <c r="X98" t="s">
        <v>6</v>
      </c>
      <c r="Y98" t="s">
        <v>31</v>
      </c>
      <c r="Z98" s="10" t="s">
        <v>496</v>
      </c>
    </row>
    <row r="99" spans="1:26" x14ac:dyDescent="0.2">
      <c r="A99" t="s">
        <v>372</v>
      </c>
      <c r="B99" s="9">
        <f t="shared" si="1"/>
        <v>9</v>
      </c>
      <c r="C99" t="s">
        <v>145</v>
      </c>
      <c r="D99" t="s">
        <v>373</v>
      </c>
      <c r="E99" t="s">
        <v>5</v>
      </c>
      <c r="F99" t="s">
        <v>374</v>
      </c>
      <c r="G99">
        <v>9</v>
      </c>
      <c r="H99">
        <v>1</v>
      </c>
      <c r="I99">
        <v>9</v>
      </c>
      <c r="J99" t="s">
        <v>148</v>
      </c>
      <c r="K99" t="s">
        <v>6</v>
      </c>
      <c r="M99" t="s">
        <v>6</v>
      </c>
      <c r="N99" t="s">
        <v>375</v>
      </c>
      <c r="O99" t="s">
        <v>374</v>
      </c>
      <c r="P99" t="s">
        <v>6</v>
      </c>
      <c r="Q99" t="s">
        <v>239</v>
      </c>
      <c r="R99" t="s">
        <v>6</v>
      </c>
      <c r="S99" t="s">
        <v>6</v>
      </c>
      <c r="T99">
        <v>1.02</v>
      </c>
      <c r="U99" t="s">
        <v>14</v>
      </c>
      <c r="V99" t="s">
        <v>6</v>
      </c>
      <c r="W99" t="s">
        <v>6</v>
      </c>
      <c r="X99" t="s">
        <v>6</v>
      </c>
      <c r="Y99" t="s">
        <v>31</v>
      </c>
      <c r="Z99" s="10" t="s">
        <v>496</v>
      </c>
    </row>
    <row r="100" spans="1:26" x14ac:dyDescent="0.2">
      <c r="A100" t="s">
        <v>376</v>
      </c>
      <c r="B100" s="9">
        <f t="shared" si="1"/>
        <v>9</v>
      </c>
      <c r="C100" t="s">
        <v>145</v>
      </c>
      <c r="D100" t="s">
        <v>377</v>
      </c>
      <c r="E100" t="s">
        <v>5</v>
      </c>
      <c r="F100" t="s">
        <v>378</v>
      </c>
      <c r="G100">
        <v>9</v>
      </c>
      <c r="H100">
        <v>1</v>
      </c>
      <c r="I100">
        <v>9</v>
      </c>
      <c r="J100" t="s">
        <v>148</v>
      </c>
      <c r="K100" t="s">
        <v>6</v>
      </c>
      <c r="M100" t="s">
        <v>6</v>
      </c>
      <c r="S100" t="s">
        <v>6</v>
      </c>
      <c r="T100">
        <v>0</v>
      </c>
      <c r="U100" t="s">
        <v>14</v>
      </c>
      <c r="V100" t="s">
        <v>6</v>
      </c>
      <c r="W100" t="s">
        <v>6</v>
      </c>
      <c r="X100" t="s">
        <v>6</v>
      </c>
      <c r="Y100" t="s">
        <v>31</v>
      </c>
      <c r="Z100" s="10" t="s">
        <v>496</v>
      </c>
    </row>
    <row r="101" spans="1:26" x14ac:dyDescent="0.2">
      <c r="A101" t="s">
        <v>379</v>
      </c>
      <c r="B101" s="9">
        <f t="shared" si="1"/>
        <v>9</v>
      </c>
      <c r="C101" t="s">
        <v>145</v>
      </c>
      <c r="D101" t="s">
        <v>380</v>
      </c>
      <c r="E101" t="s">
        <v>5</v>
      </c>
      <c r="F101" t="s">
        <v>381</v>
      </c>
      <c r="G101">
        <v>9</v>
      </c>
      <c r="H101">
        <v>1</v>
      </c>
      <c r="I101">
        <v>9</v>
      </c>
      <c r="J101" t="s">
        <v>148</v>
      </c>
      <c r="K101" t="s">
        <v>6</v>
      </c>
      <c r="M101" t="s">
        <v>6</v>
      </c>
      <c r="N101" t="s">
        <v>375</v>
      </c>
      <c r="O101" t="s">
        <v>381</v>
      </c>
      <c r="P101" t="s">
        <v>6</v>
      </c>
      <c r="Q101" t="s">
        <v>6</v>
      </c>
      <c r="R101" t="s">
        <v>6</v>
      </c>
      <c r="S101" t="s">
        <v>6</v>
      </c>
      <c r="T101">
        <v>0.217</v>
      </c>
      <c r="U101" t="s">
        <v>14</v>
      </c>
      <c r="V101" t="s">
        <v>6</v>
      </c>
      <c r="W101" t="s">
        <v>6</v>
      </c>
      <c r="X101" t="s">
        <v>6</v>
      </c>
      <c r="Y101" t="s">
        <v>31</v>
      </c>
      <c r="Z101" s="10" t="s">
        <v>496</v>
      </c>
    </row>
    <row r="102" spans="1:26" x14ac:dyDescent="0.2">
      <c r="A102" t="s">
        <v>382</v>
      </c>
      <c r="B102" s="9">
        <f t="shared" si="1"/>
        <v>9</v>
      </c>
      <c r="C102" t="s">
        <v>145</v>
      </c>
      <c r="D102" t="s">
        <v>383</v>
      </c>
      <c r="E102" t="s">
        <v>5</v>
      </c>
      <c r="F102" t="s">
        <v>384</v>
      </c>
      <c r="G102">
        <v>9</v>
      </c>
      <c r="H102">
        <v>1</v>
      </c>
      <c r="I102">
        <v>9</v>
      </c>
      <c r="J102" t="s">
        <v>148</v>
      </c>
      <c r="K102" t="s">
        <v>6</v>
      </c>
      <c r="M102" t="s">
        <v>6</v>
      </c>
      <c r="N102" t="s">
        <v>375</v>
      </c>
      <c r="O102" t="s">
        <v>384</v>
      </c>
      <c r="P102" t="s">
        <v>6</v>
      </c>
      <c r="Q102" t="s">
        <v>239</v>
      </c>
      <c r="R102" t="s">
        <v>6</v>
      </c>
      <c r="S102" t="s">
        <v>6</v>
      </c>
      <c r="T102">
        <v>0.217</v>
      </c>
      <c r="U102" t="s">
        <v>14</v>
      </c>
      <c r="V102" t="s">
        <v>6</v>
      </c>
      <c r="W102" t="s">
        <v>6</v>
      </c>
      <c r="X102" t="s">
        <v>6</v>
      </c>
      <c r="Y102" t="s">
        <v>31</v>
      </c>
      <c r="Z102" s="10" t="s">
        <v>496</v>
      </c>
    </row>
    <row r="103" spans="1:26" x14ac:dyDescent="0.2">
      <c r="A103" t="s">
        <v>385</v>
      </c>
      <c r="B103" s="9">
        <f t="shared" si="1"/>
        <v>27</v>
      </c>
      <c r="C103" t="s">
        <v>145</v>
      </c>
      <c r="D103" t="s">
        <v>386</v>
      </c>
      <c r="E103" t="s">
        <v>5</v>
      </c>
      <c r="F103" t="s">
        <v>387</v>
      </c>
      <c r="G103">
        <v>27</v>
      </c>
      <c r="H103">
        <v>1</v>
      </c>
      <c r="I103">
        <v>27</v>
      </c>
      <c r="J103" t="s">
        <v>148</v>
      </c>
      <c r="K103" t="s">
        <v>6</v>
      </c>
      <c r="M103" t="s">
        <v>6</v>
      </c>
      <c r="N103" t="s">
        <v>175</v>
      </c>
      <c r="O103" t="s">
        <v>387</v>
      </c>
      <c r="P103" t="s">
        <v>388</v>
      </c>
      <c r="Q103" t="s">
        <v>6</v>
      </c>
      <c r="R103" t="s">
        <v>6</v>
      </c>
      <c r="S103" t="s">
        <v>6</v>
      </c>
      <c r="T103">
        <v>3.8E-3</v>
      </c>
      <c r="U103" t="s">
        <v>14</v>
      </c>
      <c r="V103" t="s">
        <v>6</v>
      </c>
      <c r="W103" t="s">
        <v>6</v>
      </c>
      <c r="X103" t="s">
        <v>6</v>
      </c>
      <c r="Y103" t="s">
        <v>31</v>
      </c>
      <c r="Z103" s="10" t="s">
        <v>496</v>
      </c>
    </row>
    <row r="104" spans="1:26" x14ac:dyDescent="0.2">
      <c r="A104" t="s">
        <v>389</v>
      </c>
      <c r="B104" s="9">
        <f t="shared" si="1"/>
        <v>9</v>
      </c>
      <c r="C104" t="s">
        <v>145</v>
      </c>
      <c r="D104" t="s">
        <v>390</v>
      </c>
      <c r="E104" t="s">
        <v>5</v>
      </c>
      <c r="F104" t="s">
        <v>391</v>
      </c>
      <c r="G104">
        <v>9</v>
      </c>
      <c r="H104">
        <v>1</v>
      </c>
      <c r="I104">
        <v>9</v>
      </c>
      <c r="J104" t="s">
        <v>148</v>
      </c>
      <c r="K104" t="s">
        <v>6</v>
      </c>
      <c r="M104" t="s">
        <v>6</v>
      </c>
      <c r="N104" t="s">
        <v>392</v>
      </c>
      <c r="O104" t="s">
        <v>391</v>
      </c>
      <c r="P104" t="s">
        <v>6</v>
      </c>
      <c r="Q104" t="s">
        <v>6</v>
      </c>
      <c r="R104" t="s">
        <v>6</v>
      </c>
      <c r="S104" t="s">
        <v>6</v>
      </c>
      <c r="T104">
        <v>5.4999999999999997E-3</v>
      </c>
      <c r="U104" t="s">
        <v>14</v>
      </c>
      <c r="V104" t="s">
        <v>6</v>
      </c>
      <c r="W104" t="s">
        <v>6</v>
      </c>
      <c r="X104" t="s">
        <v>6</v>
      </c>
      <c r="Y104" t="s">
        <v>31</v>
      </c>
      <c r="Z104" s="10" t="s">
        <v>496</v>
      </c>
    </row>
    <row r="105" spans="1:26" x14ac:dyDescent="0.2">
      <c r="A105" t="s">
        <v>393</v>
      </c>
      <c r="B105" s="9">
        <f t="shared" si="1"/>
        <v>9</v>
      </c>
      <c r="C105" t="s">
        <v>145</v>
      </c>
      <c r="D105" t="s">
        <v>394</v>
      </c>
      <c r="E105" t="s">
        <v>5</v>
      </c>
      <c r="F105" t="s">
        <v>395</v>
      </c>
      <c r="G105">
        <v>9</v>
      </c>
      <c r="H105">
        <v>1</v>
      </c>
      <c r="I105">
        <v>9</v>
      </c>
      <c r="J105" t="s">
        <v>148</v>
      </c>
      <c r="K105" t="s">
        <v>6</v>
      </c>
      <c r="M105" t="s">
        <v>6</v>
      </c>
      <c r="N105" t="s">
        <v>392</v>
      </c>
      <c r="O105" t="s">
        <v>396</v>
      </c>
      <c r="P105" t="s">
        <v>6</v>
      </c>
      <c r="Q105" t="s">
        <v>6</v>
      </c>
      <c r="R105" t="s">
        <v>6</v>
      </c>
      <c r="S105" t="s">
        <v>6</v>
      </c>
      <c r="T105">
        <v>3.8E-3</v>
      </c>
      <c r="U105" t="s">
        <v>14</v>
      </c>
      <c r="V105" t="s">
        <v>6</v>
      </c>
      <c r="W105" t="s">
        <v>6</v>
      </c>
      <c r="X105" t="s">
        <v>6</v>
      </c>
      <c r="Y105" t="s">
        <v>31</v>
      </c>
      <c r="Z105" s="10" t="s">
        <v>496</v>
      </c>
    </row>
    <row r="106" spans="1:26" x14ac:dyDescent="0.2">
      <c r="A106" t="s">
        <v>397</v>
      </c>
      <c r="B106" s="9">
        <f t="shared" si="1"/>
        <v>27</v>
      </c>
      <c r="C106" t="s">
        <v>145</v>
      </c>
      <c r="D106" t="s">
        <v>398</v>
      </c>
      <c r="E106" t="s">
        <v>5</v>
      </c>
      <c r="F106" t="s">
        <v>399</v>
      </c>
      <c r="G106">
        <v>27</v>
      </c>
      <c r="H106">
        <v>1</v>
      </c>
      <c r="I106">
        <v>27</v>
      </c>
      <c r="J106" t="s">
        <v>148</v>
      </c>
      <c r="K106" t="s">
        <v>6</v>
      </c>
      <c r="M106" t="s">
        <v>6</v>
      </c>
      <c r="N106" t="s">
        <v>175</v>
      </c>
      <c r="O106" t="s">
        <v>399</v>
      </c>
      <c r="P106" t="s">
        <v>400</v>
      </c>
      <c r="Q106" t="s">
        <v>6</v>
      </c>
      <c r="R106" t="s">
        <v>6</v>
      </c>
      <c r="S106" t="s">
        <v>6</v>
      </c>
      <c r="T106">
        <v>0.02</v>
      </c>
      <c r="U106" t="s">
        <v>14</v>
      </c>
      <c r="V106" t="s">
        <v>6</v>
      </c>
      <c r="W106" t="s">
        <v>6</v>
      </c>
      <c r="X106" t="s">
        <v>6</v>
      </c>
      <c r="Y106" t="s">
        <v>31</v>
      </c>
      <c r="Z106" s="10" t="s">
        <v>496</v>
      </c>
    </row>
    <row r="107" spans="1:26" x14ac:dyDescent="0.2">
      <c r="A107" t="s">
        <v>401</v>
      </c>
      <c r="B107" s="9">
        <f t="shared" si="1"/>
        <v>108</v>
      </c>
      <c r="C107" t="s">
        <v>145</v>
      </c>
      <c r="D107" t="s">
        <v>402</v>
      </c>
      <c r="E107" t="s">
        <v>5</v>
      </c>
      <c r="F107" t="s">
        <v>403</v>
      </c>
      <c r="G107">
        <v>108</v>
      </c>
      <c r="H107">
        <v>1</v>
      </c>
      <c r="I107">
        <v>108</v>
      </c>
      <c r="J107" t="s">
        <v>148</v>
      </c>
      <c r="K107" t="s">
        <v>6</v>
      </c>
      <c r="M107" t="s">
        <v>6</v>
      </c>
      <c r="N107" t="s">
        <v>175</v>
      </c>
      <c r="O107" t="s">
        <v>403</v>
      </c>
      <c r="P107" t="s">
        <v>404</v>
      </c>
      <c r="Q107" t="s">
        <v>6</v>
      </c>
      <c r="R107" t="s">
        <v>6</v>
      </c>
      <c r="S107" t="s">
        <v>6</v>
      </c>
      <c r="T107">
        <v>0.02</v>
      </c>
      <c r="U107" t="s">
        <v>14</v>
      </c>
      <c r="V107" t="s">
        <v>6</v>
      </c>
      <c r="W107" t="s">
        <v>6</v>
      </c>
      <c r="X107" t="s">
        <v>6</v>
      </c>
      <c r="Y107" t="s">
        <v>31</v>
      </c>
      <c r="Z107" s="10" t="s">
        <v>496</v>
      </c>
    </row>
    <row r="108" spans="1:26" x14ac:dyDescent="0.2">
      <c r="A108" t="s">
        <v>405</v>
      </c>
      <c r="B108" s="9">
        <f t="shared" si="1"/>
        <v>9</v>
      </c>
      <c r="C108" t="s">
        <v>145</v>
      </c>
      <c r="D108" t="s">
        <v>406</v>
      </c>
      <c r="E108" t="s">
        <v>5</v>
      </c>
      <c r="F108" t="s">
        <v>407</v>
      </c>
      <c r="G108">
        <v>9</v>
      </c>
      <c r="H108">
        <v>1</v>
      </c>
      <c r="I108">
        <v>9</v>
      </c>
      <c r="J108" t="s">
        <v>148</v>
      </c>
      <c r="K108" t="s">
        <v>6</v>
      </c>
      <c r="M108" t="s">
        <v>6</v>
      </c>
      <c r="N108" t="s">
        <v>175</v>
      </c>
      <c r="O108" t="s">
        <v>407</v>
      </c>
      <c r="P108" t="s">
        <v>408</v>
      </c>
      <c r="Q108" t="s">
        <v>6</v>
      </c>
      <c r="R108" t="s">
        <v>6</v>
      </c>
      <c r="S108" t="s">
        <v>6</v>
      </c>
      <c r="T108">
        <v>0.13500000000000001</v>
      </c>
      <c r="U108" t="s">
        <v>14</v>
      </c>
      <c r="V108" t="s">
        <v>6</v>
      </c>
      <c r="W108" t="s">
        <v>6</v>
      </c>
      <c r="X108" t="s">
        <v>6</v>
      </c>
      <c r="Y108" t="s">
        <v>31</v>
      </c>
      <c r="Z108" s="10" t="s">
        <v>496</v>
      </c>
    </row>
    <row r="109" spans="1:26" x14ac:dyDescent="0.2">
      <c r="A109" t="s">
        <v>409</v>
      </c>
      <c r="B109" s="9">
        <f t="shared" si="1"/>
        <v>9</v>
      </c>
      <c r="C109" t="s">
        <v>145</v>
      </c>
      <c r="D109" t="s">
        <v>410</v>
      </c>
      <c r="E109" t="s">
        <v>5</v>
      </c>
      <c r="F109" t="s">
        <v>411</v>
      </c>
      <c r="G109">
        <v>9</v>
      </c>
      <c r="H109">
        <v>1</v>
      </c>
      <c r="I109">
        <v>9</v>
      </c>
      <c r="J109" t="s">
        <v>148</v>
      </c>
      <c r="K109" t="s">
        <v>6</v>
      </c>
      <c r="M109" t="s">
        <v>6</v>
      </c>
      <c r="N109" t="s">
        <v>175</v>
      </c>
      <c r="O109" t="s">
        <v>411</v>
      </c>
      <c r="P109" t="s">
        <v>412</v>
      </c>
      <c r="Q109" t="s">
        <v>6</v>
      </c>
      <c r="R109" t="s">
        <v>6</v>
      </c>
      <c r="S109" t="s">
        <v>6</v>
      </c>
      <c r="T109">
        <v>0.216</v>
      </c>
      <c r="U109" t="s">
        <v>14</v>
      </c>
      <c r="V109" t="s">
        <v>6</v>
      </c>
      <c r="W109" t="s">
        <v>6</v>
      </c>
      <c r="X109" t="s">
        <v>6</v>
      </c>
      <c r="Y109" t="s">
        <v>31</v>
      </c>
      <c r="Z109" s="10" t="s">
        <v>496</v>
      </c>
    </row>
    <row r="110" spans="1:26" x14ac:dyDescent="0.2">
      <c r="A110" t="s">
        <v>413</v>
      </c>
      <c r="B110" s="9">
        <f t="shared" si="1"/>
        <v>27</v>
      </c>
      <c r="C110" t="s">
        <v>145</v>
      </c>
      <c r="D110" t="s">
        <v>414</v>
      </c>
      <c r="E110" t="s">
        <v>5</v>
      </c>
      <c r="F110" t="s">
        <v>415</v>
      </c>
      <c r="G110">
        <v>27</v>
      </c>
      <c r="H110">
        <v>1</v>
      </c>
      <c r="I110">
        <v>27</v>
      </c>
      <c r="J110" t="s">
        <v>148</v>
      </c>
      <c r="K110" t="s">
        <v>6</v>
      </c>
      <c r="M110" t="s">
        <v>6</v>
      </c>
      <c r="N110" t="s">
        <v>175</v>
      </c>
      <c r="O110" t="s">
        <v>415</v>
      </c>
      <c r="P110" t="s">
        <v>416</v>
      </c>
      <c r="Q110" t="s">
        <v>6</v>
      </c>
      <c r="R110" t="s">
        <v>6</v>
      </c>
      <c r="S110" t="s">
        <v>6</v>
      </c>
      <c r="T110">
        <v>1.4999999999999999E-2</v>
      </c>
      <c r="U110" t="s">
        <v>14</v>
      </c>
      <c r="V110" t="s">
        <v>6</v>
      </c>
      <c r="W110" t="s">
        <v>6</v>
      </c>
      <c r="X110" t="s">
        <v>6</v>
      </c>
      <c r="Y110" t="s">
        <v>31</v>
      </c>
      <c r="Z110" s="10" t="s">
        <v>496</v>
      </c>
    </row>
    <row r="111" spans="1:26" x14ac:dyDescent="0.2">
      <c r="A111" t="s">
        <v>417</v>
      </c>
      <c r="B111" s="9">
        <f t="shared" si="1"/>
        <v>18</v>
      </c>
      <c r="C111" t="s">
        <v>145</v>
      </c>
      <c r="D111" t="s">
        <v>418</v>
      </c>
      <c r="E111" t="s">
        <v>5</v>
      </c>
      <c r="F111" t="s">
        <v>419</v>
      </c>
      <c r="G111">
        <v>18</v>
      </c>
      <c r="H111">
        <v>1</v>
      </c>
      <c r="I111">
        <v>18</v>
      </c>
      <c r="J111" t="s">
        <v>148</v>
      </c>
      <c r="K111" t="s">
        <v>6</v>
      </c>
      <c r="M111" t="s">
        <v>6</v>
      </c>
      <c r="N111" t="s">
        <v>175</v>
      </c>
      <c r="O111" t="s">
        <v>419</v>
      </c>
      <c r="P111" t="s">
        <v>420</v>
      </c>
      <c r="Q111" t="s">
        <v>6</v>
      </c>
      <c r="R111" t="s">
        <v>6</v>
      </c>
      <c r="S111" t="s">
        <v>6</v>
      </c>
      <c r="T111">
        <v>0.08</v>
      </c>
      <c r="U111" t="s">
        <v>14</v>
      </c>
      <c r="V111" t="s">
        <v>6</v>
      </c>
      <c r="W111" t="s">
        <v>6</v>
      </c>
      <c r="X111" t="s">
        <v>6</v>
      </c>
      <c r="Y111" t="s">
        <v>31</v>
      </c>
      <c r="Z111" s="10" t="s">
        <v>496</v>
      </c>
    </row>
    <row r="112" spans="1:26" x14ac:dyDescent="0.2">
      <c r="A112" t="s">
        <v>421</v>
      </c>
      <c r="B112" s="9">
        <f t="shared" si="1"/>
        <v>90</v>
      </c>
      <c r="C112" t="s">
        <v>145</v>
      </c>
      <c r="D112" t="s">
        <v>422</v>
      </c>
      <c r="E112" t="s">
        <v>5</v>
      </c>
      <c r="F112" t="s">
        <v>423</v>
      </c>
      <c r="G112">
        <v>90</v>
      </c>
      <c r="H112">
        <v>1</v>
      </c>
      <c r="I112">
        <v>90</v>
      </c>
      <c r="J112" t="s">
        <v>148</v>
      </c>
      <c r="K112" t="s">
        <v>6</v>
      </c>
      <c r="M112" t="s">
        <v>6</v>
      </c>
      <c r="N112" t="s">
        <v>175</v>
      </c>
      <c r="O112" t="s">
        <v>423</v>
      </c>
      <c r="P112" t="s">
        <v>424</v>
      </c>
      <c r="Q112" t="s">
        <v>6</v>
      </c>
      <c r="R112" t="s">
        <v>6</v>
      </c>
      <c r="S112" t="s">
        <v>6</v>
      </c>
      <c r="T112">
        <v>0.19</v>
      </c>
      <c r="U112" t="s">
        <v>14</v>
      </c>
      <c r="V112" t="s">
        <v>6</v>
      </c>
      <c r="W112" t="s">
        <v>6</v>
      </c>
      <c r="X112" t="s">
        <v>6</v>
      </c>
      <c r="Y112" t="s">
        <v>31</v>
      </c>
      <c r="Z112" s="10" t="s">
        <v>496</v>
      </c>
    </row>
    <row r="113" spans="1:26" x14ac:dyDescent="0.2">
      <c r="A113" t="s">
        <v>425</v>
      </c>
      <c r="B113" s="9">
        <f t="shared" si="1"/>
        <v>27</v>
      </c>
      <c r="C113" t="s">
        <v>145</v>
      </c>
      <c r="D113" t="s">
        <v>426</v>
      </c>
      <c r="E113" t="s">
        <v>5</v>
      </c>
      <c r="F113" t="s">
        <v>427</v>
      </c>
      <c r="G113">
        <v>27</v>
      </c>
      <c r="H113">
        <v>1</v>
      </c>
      <c r="I113">
        <v>27</v>
      </c>
      <c r="J113" t="s">
        <v>148</v>
      </c>
      <c r="K113" t="s">
        <v>6</v>
      </c>
      <c r="M113" t="s">
        <v>6</v>
      </c>
      <c r="N113" t="s">
        <v>175</v>
      </c>
      <c r="O113" t="s">
        <v>427</v>
      </c>
      <c r="P113" t="s">
        <v>428</v>
      </c>
      <c r="Q113" t="s">
        <v>6</v>
      </c>
      <c r="R113" t="s">
        <v>6</v>
      </c>
      <c r="S113" t="s">
        <v>6</v>
      </c>
      <c r="T113">
        <v>0.01</v>
      </c>
      <c r="U113" t="s">
        <v>14</v>
      </c>
      <c r="V113" t="s">
        <v>6</v>
      </c>
      <c r="W113" t="s">
        <v>6</v>
      </c>
      <c r="X113" t="s">
        <v>6</v>
      </c>
      <c r="Y113" t="s">
        <v>31</v>
      </c>
      <c r="Z113" s="10" t="s">
        <v>496</v>
      </c>
    </row>
    <row r="114" spans="1:26" x14ac:dyDescent="0.2">
      <c r="A114" t="s">
        <v>429</v>
      </c>
      <c r="B114" s="9">
        <f t="shared" si="1"/>
        <v>18</v>
      </c>
      <c r="C114" t="s">
        <v>145</v>
      </c>
      <c r="D114" t="s">
        <v>430</v>
      </c>
      <c r="E114" t="s">
        <v>5</v>
      </c>
      <c r="F114" t="s">
        <v>431</v>
      </c>
      <c r="G114">
        <v>18</v>
      </c>
      <c r="H114">
        <v>1</v>
      </c>
      <c r="I114">
        <v>18</v>
      </c>
      <c r="J114" t="s">
        <v>148</v>
      </c>
      <c r="K114" t="s">
        <v>6</v>
      </c>
      <c r="M114" t="s">
        <v>6</v>
      </c>
      <c r="N114" t="s">
        <v>175</v>
      </c>
      <c r="O114" t="s">
        <v>431</v>
      </c>
      <c r="P114" t="s">
        <v>432</v>
      </c>
      <c r="Q114" t="s">
        <v>6</v>
      </c>
      <c r="R114" t="s">
        <v>6</v>
      </c>
      <c r="S114" t="s">
        <v>6</v>
      </c>
      <c r="T114">
        <v>0.08</v>
      </c>
      <c r="U114" t="s">
        <v>14</v>
      </c>
      <c r="V114" t="s">
        <v>6</v>
      </c>
      <c r="W114" t="s">
        <v>6</v>
      </c>
      <c r="X114" t="s">
        <v>6</v>
      </c>
      <c r="Y114" t="s">
        <v>31</v>
      </c>
      <c r="Z114" s="10" t="s">
        <v>496</v>
      </c>
    </row>
    <row r="115" spans="1:26" x14ac:dyDescent="0.2">
      <c r="A115" t="s">
        <v>433</v>
      </c>
      <c r="B115" s="9">
        <f t="shared" si="1"/>
        <v>27</v>
      </c>
      <c r="C115" t="s">
        <v>145</v>
      </c>
      <c r="D115" t="s">
        <v>434</v>
      </c>
      <c r="E115" t="s">
        <v>5</v>
      </c>
      <c r="F115" t="s">
        <v>435</v>
      </c>
      <c r="G115">
        <v>27</v>
      </c>
      <c r="H115">
        <v>1</v>
      </c>
      <c r="I115">
        <v>27</v>
      </c>
      <c r="J115" t="s">
        <v>148</v>
      </c>
      <c r="K115" t="s">
        <v>6</v>
      </c>
      <c r="M115" t="s">
        <v>6</v>
      </c>
      <c r="N115" t="s">
        <v>175</v>
      </c>
      <c r="O115" t="s">
        <v>435</v>
      </c>
      <c r="P115" t="s">
        <v>436</v>
      </c>
      <c r="Q115" t="s">
        <v>6</v>
      </c>
      <c r="R115" t="s">
        <v>6</v>
      </c>
      <c r="S115" t="s">
        <v>6</v>
      </c>
      <c r="T115">
        <v>2.1000000000000001E-2</v>
      </c>
      <c r="U115" t="s">
        <v>14</v>
      </c>
      <c r="V115" t="s">
        <v>6</v>
      </c>
      <c r="W115" t="s">
        <v>6</v>
      </c>
      <c r="X115" t="s">
        <v>6</v>
      </c>
      <c r="Y115" t="s">
        <v>31</v>
      </c>
      <c r="Z115" s="10" t="s">
        <v>496</v>
      </c>
    </row>
    <row r="116" spans="1:26" x14ac:dyDescent="0.2">
      <c r="A116" t="s">
        <v>437</v>
      </c>
      <c r="B116" s="9">
        <f t="shared" si="1"/>
        <v>27</v>
      </c>
      <c r="C116" t="s">
        <v>145</v>
      </c>
      <c r="D116" t="s">
        <v>438</v>
      </c>
      <c r="E116" t="s">
        <v>5</v>
      </c>
      <c r="F116" t="s">
        <v>439</v>
      </c>
      <c r="G116">
        <v>27</v>
      </c>
      <c r="H116">
        <v>1</v>
      </c>
      <c r="I116">
        <v>27</v>
      </c>
      <c r="J116" t="s">
        <v>148</v>
      </c>
      <c r="K116" t="s">
        <v>6</v>
      </c>
      <c r="M116" t="s">
        <v>6</v>
      </c>
      <c r="N116" t="s">
        <v>175</v>
      </c>
      <c r="O116" t="s">
        <v>439</v>
      </c>
      <c r="P116" t="s">
        <v>440</v>
      </c>
      <c r="Q116" t="s">
        <v>6</v>
      </c>
      <c r="R116" t="s">
        <v>6</v>
      </c>
      <c r="S116" t="s">
        <v>6</v>
      </c>
      <c r="T116">
        <v>3.5000000000000001E-3</v>
      </c>
      <c r="U116" t="s">
        <v>14</v>
      </c>
      <c r="V116" t="s">
        <v>6</v>
      </c>
      <c r="W116" t="s">
        <v>6</v>
      </c>
      <c r="X116" t="s">
        <v>6</v>
      </c>
      <c r="Y116" t="s">
        <v>31</v>
      </c>
      <c r="Z116" s="10" t="s">
        <v>496</v>
      </c>
    </row>
    <row r="117" spans="1:26" x14ac:dyDescent="0.2">
      <c r="A117" t="s">
        <v>441</v>
      </c>
      <c r="B117" s="9">
        <f t="shared" si="1"/>
        <v>45</v>
      </c>
      <c r="C117" t="s">
        <v>145</v>
      </c>
      <c r="D117" t="s">
        <v>442</v>
      </c>
      <c r="E117" t="s">
        <v>5</v>
      </c>
      <c r="F117" t="s">
        <v>443</v>
      </c>
      <c r="G117">
        <v>45</v>
      </c>
      <c r="H117">
        <v>1</v>
      </c>
      <c r="I117">
        <v>45</v>
      </c>
      <c r="J117" t="s">
        <v>148</v>
      </c>
      <c r="K117" t="s">
        <v>6</v>
      </c>
      <c r="M117" t="s">
        <v>6</v>
      </c>
      <c r="N117" t="s">
        <v>270</v>
      </c>
      <c r="O117" t="s">
        <v>443</v>
      </c>
      <c r="P117" t="s">
        <v>6</v>
      </c>
      <c r="Q117" t="s">
        <v>6</v>
      </c>
      <c r="R117" t="s">
        <v>6</v>
      </c>
      <c r="S117" t="s">
        <v>6</v>
      </c>
      <c r="T117">
        <v>7.7549113135261402E-2</v>
      </c>
      <c r="U117" t="s">
        <v>14</v>
      </c>
      <c r="V117" t="s">
        <v>6</v>
      </c>
      <c r="W117" t="s">
        <v>6</v>
      </c>
      <c r="X117" t="s">
        <v>6</v>
      </c>
      <c r="Y117" t="s">
        <v>31</v>
      </c>
      <c r="Z117" s="10" t="s">
        <v>496</v>
      </c>
    </row>
    <row r="118" spans="1:26" x14ac:dyDescent="0.2">
      <c r="A118" t="s">
        <v>444</v>
      </c>
      <c r="B118" s="9">
        <f t="shared" si="1"/>
        <v>9</v>
      </c>
      <c r="C118" t="s">
        <v>145</v>
      </c>
      <c r="D118" t="s">
        <v>445</v>
      </c>
      <c r="E118" t="s">
        <v>5</v>
      </c>
      <c r="F118" t="s">
        <v>446</v>
      </c>
      <c r="G118">
        <v>9</v>
      </c>
      <c r="H118">
        <v>1</v>
      </c>
      <c r="I118">
        <v>9</v>
      </c>
      <c r="J118" t="s">
        <v>148</v>
      </c>
      <c r="K118" t="s">
        <v>6</v>
      </c>
      <c r="M118" t="s">
        <v>6</v>
      </c>
      <c r="N118" t="s">
        <v>447</v>
      </c>
      <c r="O118" t="s">
        <v>446</v>
      </c>
      <c r="P118" t="s">
        <v>6</v>
      </c>
      <c r="Q118" t="s">
        <v>6</v>
      </c>
      <c r="R118" t="s">
        <v>6</v>
      </c>
      <c r="S118" t="s">
        <v>6</v>
      </c>
      <c r="T118">
        <v>0.21</v>
      </c>
      <c r="U118" t="s">
        <v>14</v>
      </c>
      <c r="V118" t="s">
        <v>6</v>
      </c>
      <c r="W118" t="s">
        <v>6</v>
      </c>
      <c r="X118" t="s">
        <v>6</v>
      </c>
      <c r="Y118" t="s">
        <v>31</v>
      </c>
      <c r="Z118" s="10" t="s">
        <v>496</v>
      </c>
    </row>
    <row r="119" spans="1:26" x14ac:dyDescent="0.2">
      <c r="A119" t="s">
        <v>448</v>
      </c>
      <c r="B119" s="9">
        <f t="shared" si="1"/>
        <v>27</v>
      </c>
      <c r="C119" t="s">
        <v>145</v>
      </c>
      <c r="D119" t="s">
        <v>449</v>
      </c>
      <c r="E119" t="s">
        <v>5</v>
      </c>
      <c r="F119" t="s">
        <v>450</v>
      </c>
      <c r="G119">
        <v>27</v>
      </c>
      <c r="H119">
        <v>1</v>
      </c>
      <c r="I119">
        <v>27</v>
      </c>
      <c r="J119" t="s">
        <v>148</v>
      </c>
      <c r="K119" t="s">
        <v>6</v>
      </c>
      <c r="M119" t="s">
        <v>6</v>
      </c>
      <c r="N119" t="s">
        <v>175</v>
      </c>
      <c r="O119" t="s">
        <v>450</v>
      </c>
      <c r="P119" t="s">
        <v>451</v>
      </c>
      <c r="Q119" t="s">
        <v>6</v>
      </c>
      <c r="R119" t="s">
        <v>6</v>
      </c>
      <c r="S119" t="s">
        <v>6</v>
      </c>
      <c r="T119">
        <v>3.8E-3</v>
      </c>
      <c r="U119" t="s">
        <v>14</v>
      </c>
      <c r="V119" t="s">
        <v>6</v>
      </c>
      <c r="W119" t="s">
        <v>6</v>
      </c>
      <c r="X119" t="s">
        <v>6</v>
      </c>
      <c r="Y119" t="s">
        <v>31</v>
      </c>
      <c r="Z119" s="10" t="s">
        <v>496</v>
      </c>
    </row>
    <row r="120" spans="1:26" x14ac:dyDescent="0.2">
      <c r="A120" t="s">
        <v>452</v>
      </c>
      <c r="B120" s="9">
        <f t="shared" si="1"/>
        <v>9</v>
      </c>
      <c r="C120" t="s">
        <v>145</v>
      </c>
      <c r="D120" t="s">
        <v>453</v>
      </c>
      <c r="E120" t="s">
        <v>5</v>
      </c>
      <c r="F120" t="s">
        <v>454</v>
      </c>
      <c r="G120">
        <v>9</v>
      </c>
      <c r="H120">
        <v>1</v>
      </c>
      <c r="I120">
        <v>9</v>
      </c>
      <c r="J120" t="s">
        <v>148</v>
      </c>
      <c r="K120" t="s">
        <v>6</v>
      </c>
      <c r="M120" t="s">
        <v>6</v>
      </c>
      <c r="N120" t="s">
        <v>375</v>
      </c>
      <c r="O120" t="s">
        <v>454</v>
      </c>
      <c r="P120" t="s">
        <v>6</v>
      </c>
      <c r="Q120" t="s">
        <v>6</v>
      </c>
      <c r="R120" t="s">
        <v>6</v>
      </c>
      <c r="S120" t="s">
        <v>6</v>
      </c>
      <c r="T120">
        <v>3</v>
      </c>
      <c r="U120" t="s">
        <v>14</v>
      </c>
      <c r="V120" t="s">
        <v>6</v>
      </c>
      <c r="W120" t="s">
        <v>6</v>
      </c>
      <c r="X120" t="s">
        <v>6</v>
      </c>
      <c r="Y120" t="s">
        <v>31</v>
      </c>
      <c r="Z120" s="10" t="s">
        <v>496</v>
      </c>
    </row>
    <row r="121" spans="1:26" x14ac:dyDescent="0.2">
      <c r="A121" t="s">
        <v>455</v>
      </c>
      <c r="B121" s="9">
        <f t="shared" si="1"/>
        <v>126</v>
      </c>
      <c r="C121" t="s">
        <v>456</v>
      </c>
      <c r="D121" t="s">
        <v>457</v>
      </c>
      <c r="E121" t="s">
        <v>5</v>
      </c>
      <c r="F121" t="s">
        <v>458</v>
      </c>
      <c r="G121">
        <v>126</v>
      </c>
      <c r="H121">
        <v>1</v>
      </c>
      <c r="I121">
        <v>126</v>
      </c>
      <c r="J121" t="s">
        <v>459</v>
      </c>
      <c r="K121" t="s">
        <v>6</v>
      </c>
      <c r="M121" t="s">
        <v>6</v>
      </c>
      <c r="S121" t="s">
        <v>6</v>
      </c>
      <c r="T121">
        <v>8.2852064526234195E-4</v>
      </c>
      <c r="U121" t="s">
        <v>14</v>
      </c>
      <c r="V121" t="s">
        <v>6</v>
      </c>
      <c r="W121" t="s">
        <v>6</v>
      </c>
      <c r="X121" t="s">
        <v>6</v>
      </c>
      <c r="Y121" t="s">
        <v>31</v>
      </c>
      <c r="Z121" s="10" t="s">
        <v>496</v>
      </c>
    </row>
    <row r="122" spans="1:26" x14ac:dyDescent="0.2">
      <c r="A122" t="s">
        <v>460</v>
      </c>
      <c r="B122" s="9">
        <f t="shared" si="1"/>
        <v>162</v>
      </c>
      <c r="C122" t="s">
        <v>456</v>
      </c>
      <c r="D122" t="s">
        <v>461</v>
      </c>
      <c r="E122" t="s">
        <v>5</v>
      </c>
      <c r="F122" t="s">
        <v>462</v>
      </c>
      <c r="G122">
        <v>162</v>
      </c>
      <c r="H122">
        <v>1</v>
      </c>
      <c r="I122">
        <v>162</v>
      </c>
      <c r="J122" t="s">
        <v>459</v>
      </c>
      <c r="K122" t="s">
        <v>6</v>
      </c>
      <c r="M122" t="s">
        <v>6</v>
      </c>
      <c r="S122" t="s">
        <v>6</v>
      </c>
      <c r="T122">
        <v>2.6647165186116299E-3</v>
      </c>
      <c r="U122" t="s">
        <v>14</v>
      </c>
      <c r="V122" t="s">
        <v>6</v>
      </c>
      <c r="W122" t="s">
        <v>6</v>
      </c>
      <c r="X122" t="s">
        <v>6</v>
      </c>
      <c r="Y122" t="s">
        <v>31</v>
      </c>
      <c r="Z122" s="10" t="s">
        <v>496</v>
      </c>
    </row>
    <row r="123" spans="1:26" x14ac:dyDescent="0.2">
      <c r="A123" t="s">
        <v>463</v>
      </c>
      <c r="B123" s="9">
        <f t="shared" si="1"/>
        <v>36</v>
      </c>
      <c r="C123" t="s">
        <v>456</v>
      </c>
      <c r="D123" t="s">
        <v>464</v>
      </c>
      <c r="E123" t="s">
        <v>5</v>
      </c>
      <c r="F123" t="s">
        <v>465</v>
      </c>
      <c r="G123">
        <v>36</v>
      </c>
      <c r="H123">
        <v>1</v>
      </c>
      <c r="I123">
        <v>36</v>
      </c>
      <c r="J123" t="s">
        <v>459</v>
      </c>
      <c r="K123" t="s">
        <v>6</v>
      </c>
      <c r="M123" t="s">
        <v>6</v>
      </c>
      <c r="S123" t="s">
        <v>6</v>
      </c>
      <c r="T123">
        <v>2.9365693906133702E-3</v>
      </c>
      <c r="U123" t="s">
        <v>14</v>
      </c>
      <c r="V123" t="s">
        <v>6</v>
      </c>
      <c r="W123" t="s">
        <v>6</v>
      </c>
      <c r="X123" t="s">
        <v>6</v>
      </c>
      <c r="Y123" t="s">
        <v>31</v>
      </c>
      <c r="Z123" s="10" t="s">
        <v>496</v>
      </c>
    </row>
    <row r="124" spans="1:26" x14ac:dyDescent="0.2">
      <c r="A124" t="s">
        <v>466</v>
      </c>
      <c r="B124" s="9">
        <f t="shared" si="1"/>
        <v>18</v>
      </c>
      <c r="C124" t="s">
        <v>456</v>
      </c>
      <c r="D124" t="s">
        <v>467</v>
      </c>
      <c r="E124" t="s">
        <v>5</v>
      </c>
      <c r="F124" t="s">
        <v>468</v>
      </c>
      <c r="G124">
        <v>18</v>
      </c>
      <c r="H124">
        <v>1</v>
      </c>
      <c r="I124">
        <v>18</v>
      </c>
      <c r="J124" t="s">
        <v>459</v>
      </c>
      <c r="K124" t="s">
        <v>6</v>
      </c>
      <c r="M124" t="s">
        <v>6</v>
      </c>
      <c r="S124" t="s">
        <v>6</v>
      </c>
      <c r="T124">
        <v>2.1522674692245102E-3</v>
      </c>
      <c r="U124" t="s">
        <v>14</v>
      </c>
      <c r="V124" t="s">
        <v>6</v>
      </c>
      <c r="W124" t="s">
        <v>6</v>
      </c>
      <c r="X124" t="s">
        <v>6</v>
      </c>
      <c r="Y124" t="s">
        <v>31</v>
      </c>
      <c r="Z124" s="10" t="s">
        <v>496</v>
      </c>
    </row>
    <row r="125" spans="1:26" x14ac:dyDescent="0.2">
      <c r="A125" t="s">
        <v>469</v>
      </c>
      <c r="B125" s="9">
        <f t="shared" si="1"/>
        <v>36</v>
      </c>
      <c r="C125" t="s">
        <v>456</v>
      </c>
      <c r="D125" t="s">
        <v>470</v>
      </c>
      <c r="E125" t="s">
        <v>5</v>
      </c>
      <c r="F125" t="s">
        <v>471</v>
      </c>
      <c r="G125">
        <v>36</v>
      </c>
      <c r="H125">
        <v>1</v>
      </c>
      <c r="I125">
        <v>36</v>
      </c>
      <c r="J125" t="s">
        <v>459</v>
      </c>
      <c r="K125" t="s">
        <v>6</v>
      </c>
      <c r="M125" t="s">
        <v>6</v>
      </c>
      <c r="S125" t="s">
        <v>6</v>
      </c>
      <c r="T125">
        <v>4.9029713320841196E-3</v>
      </c>
      <c r="U125" t="s">
        <v>14</v>
      </c>
      <c r="V125" t="s">
        <v>6</v>
      </c>
      <c r="W125" t="s">
        <v>6</v>
      </c>
      <c r="X125" t="s">
        <v>6</v>
      </c>
      <c r="Y125" t="s">
        <v>31</v>
      </c>
      <c r="Z125" s="10" t="s">
        <v>496</v>
      </c>
    </row>
    <row r="126" spans="1:26" x14ac:dyDescent="0.2">
      <c r="A126" t="s">
        <v>472</v>
      </c>
      <c r="B126" s="9">
        <f t="shared" si="1"/>
        <v>36</v>
      </c>
      <c r="C126" t="s">
        <v>456</v>
      </c>
      <c r="D126" t="s">
        <v>473</v>
      </c>
      <c r="E126" t="s">
        <v>5</v>
      </c>
      <c r="F126" t="s">
        <v>474</v>
      </c>
      <c r="G126">
        <v>36</v>
      </c>
      <c r="H126">
        <v>1</v>
      </c>
      <c r="I126">
        <v>36</v>
      </c>
      <c r="J126" t="s">
        <v>459</v>
      </c>
      <c r="K126" t="s">
        <v>6</v>
      </c>
      <c r="M126" t="s">
        <v>6</v>
      </c>
      <c r="S126" t="s">
        <v>6</v>
      </c>
      <c r="T126">
        <v>5.7907854159886E-3</v>
      </c>
      <c r="U126" t="s">
        <v>14</v>
      </c>
      <c r="V126" t="s">
        <v>6</v>
      </c>
      <c r="W126" t="s">
        <v>6</v>
      </c>
      <c r="X126" t="s">
        <v>6</v>
      </c>
      <c r="Y126" t="s">
        <v>31</v>
      </c>
      <c r="Z126" s="10" t="s">
        <v>496</v>
      </c>
    </row>
    <row r="127" spans="1:26" x14ac:dyDescent="0.2">
      <c r="A127" t="s">
        <v>475</v>
      </c>
      <c r="B127" s="9">
        <f t="shared" si="1"/>
        <v>18</v>
      </c>
      <c r="C127" t="s">
        <v>456</v>
      </c>
      <c r="D127" t="s">
        <v>476</v>
      </c>
      <c r="E127" t="s">
        <v>5</v>
      </c>
      <c r="F127" t="s">
        <v>477</v>
      </c>
      <c r="G127">
        <v>18</v>
      </c>
      <c r="H127">
        <v>1</v>
      </c>
      <c r="I127">
        <v>18</v>
      </c>
      <c r="J127" t="s">
        <v>459</v>
      </c>
      <c r="K127" t="s">
        <v>6</v>
      </c>
      <c r="M127" t="s">
        <v>6</v>
      </c>
      <c r="S127" t="s">
        <v>6</v>
      </c>
      <c r="T127">
        <v>1.4668926255033301E-2</v>
      </c>
      <c r="U127" t="s">
        <v>14</v>
      </c>
      <c r="V127" t="s">
        <v>6</v>
      </c>
      <c r="W127" t="s">
        <v>6</v>
      </c>
      <c r="X127" t="s">
        <v>6</v>
      </c>
      <c r="Y127" t="s">
        <v>31</v>
      </c>
      <c r="Z127" s="10" t="s">
        <v>496</v>
      </c>
    </row>
    <row r="128" spans="1:26" x14ac:dyDescent="0.2">
      <c r="A128" t="s">
        <v>478</v>
      </c>
      <c r="B128" s="9">
        <f t="shared" si="1"/>
        <v>90</v>
      </c>
      <c r="C128" t="s">
        <v>456</v>
      </c>
      <c r="D128" t="s">
        <v>479</v>
      </c>
      <c r="E128" t="s">
        <v>5</v>
      </c>
      <c r="F128" t="s">
        <v>480</v>
      </c>
      <c r="G128">
        <v>90</v>
      </c>
      <c r="H128">
        <v>1</v>
      </c>
      <c r="I128">
        <v>90</v>
      </c>
      <c r="J128" t="s">
        <v>459</v>
      </c>
      <c r="K128" t="s">
        <v>6</v>
      </c>
      <c r="M128" t="s">
        <v>6</v>
      </c>
      <c r="S128" t="s">
        <v>6</v>
      </c>
      <c r="T128">
        <v>2.0487553067089102E-3</v>
      </c>
      <c r="U128" t="s">
        <v>14</v>
      </c>
      <c r="V128" t="s">
        <v>6</v>
      </c>
      <c r="W128" t="s">
        <v>6</v>
      </c>
      <c r="X128" t="s">
        <v>6</v>
      </c>
      <c r="Y128" t="s">
        <v>31</v>
      </c>
      <c r="Z128" s="10" t="s">
        <v>496</v>
      </c>
    </row>
    <row r="129" spans="1:26" x14ac:dyDescent="0.2">
      <c r="A129" t="s">
        <v>481</v>
      </c>
      <c r="B129" s="9">
        <f t="shared" si="1"/>
        <v>126</v>
      </c>
      <c r="C129" t="s">
        <v>456</v>
      </c>
      <c r="D129" t="s">
        <v>482</v>
      </c>
      <c r="E129" t="s">
        <v>5</v>
      </c>
      <c r="F129" t="s">
        <v>483</v>
      </c>
      <c r="G129">
        <v>126</v>
      </c>
      <c r="H129">
        <v>1</v>
      </c>
      <c r="I129">
        <v>126</v>
      </c>
      <c r="J129" t="s">
        <v>459</v>
      </c>
      <c r="K129" t="s">
        <v>6</v>
      </c>
      <c r="M129" t="s">
        <v>6</v>
      </c>
      <c r="S129" t="s">
        <v>6</v>
      </c>
      <c r="T129">
        <v>2.98835675952197E-4</v>
      </c>
      <c r="U129" t="s">
        <v>14</v>
      </c>
      <c r="V129" t="s">
        <v>6</v>
      </c>
      <c r="W129" t="s">
        <v>6</v>
      </c>
      <c r="X129" t="s">
        <v>6</v>
      </c>
      <c r="Y129" t="s">
        <v>31</v>
      </c>
      <c r="Z129" s="10" t="s">
        <v>496</v>
      </c>
    </row>
    <row r="130" spans="1:26" x14ac:dyDescent="0.2">
      <c r="A130" t="s">
        <v>484</v>
      </c>
      <c r="B130" s="9">
        <f t="shared" si="1"/>
        <v>144</v>
      </c>
      <c r="C130" t="s">
        <v>456</v>
      </c>
      <c r="D130" t="s">
        <v>485</v>
      </c>
      <c r="E130" t="s">
        <v>5</v>
      </c>
      <c r="F130" t="s">
        <v>486</v>
      </c>
      <c r="G130">
        <v>144</v>
      </c>
      <c r="H130">
        <v>1</v>
      </c>
      <c r="I130">
        <v>144</v>
      </c>
      <c r="J130" t="s">
        <v>459</v>
      </c>
      <c r="K130" t="s">
        <v>6</v>
      </c>
      <c r="M130" t="s">
        <v>6</v>
      </c>
      <c r="S130" t="s">
        <v>6</v>
      </c>
      <c r="T130">
        <v>9.8814996848193204E-4</v>
      </c>
      <c r="U130" t="s">
        <v>14</v>
      </c>
      <c r="V130" t="s">
        <v>6</v>
      </c>
      <c r="W130" t="s">
        <v>6</v>
      </c>
      <c r="X130" t="s">
        <v>6</v>
      </c>
      <c r="Y130" t="s">
        <v>31</v>
      </c>
      <c r="Z130" s="10" t="s">
        <v>496</v>
      </c>
    </row>
    <row r="131" spans="1:26" x14ac:dyDescent="0.2">
      <c r="A131" t="s">
        <v>487</v>
      </c>
      <c r="B131" s="9">
        <f>I131</f>
        <v>54</v>
      </c>
      <c r="C131" t="s">
        <v>456</v>
      </c>
      <c r="D131" t="s">
        <v>488</v>
      </c>
      <c r="E131" t="s">
        <v>5</v>
      </c>
      <c r="F131" t="s">
        <v>489</v>
      </c>
      <c r="G131">
        <v>54</v>
      </c>
      <c r="H131">
        <v>1</v>
      </c>
      <c r="I131">
        <v>54</v>
      </c>
      <c r="J131" t="s">
        <v>459</v>
      </c>
      <c r="K131" t="s">
        <v>6</v>
      </c>
      <c r="M131" t="s">
        <v>6</v>
      </c>
      <c r="S131" t="s">
        <v>6</v>
      </c>
      <c r="T131">
        <v>3.22151411878062E-4</v>
      </c>
      <c r="U131" t="s">
        <v>14</v>
      </c>
      <c r="V131" t="s">
        <v>6</v>
      </c>
      <c r="W131" t="s">
        <v>6</v>
      </c>
      <c r="X131" t="s">
        <v>6</v>
      </c>
      <c r="Y131" t="s">
        <v>31</v>
      </c>
      <c r="Z131" s="10" t="s">
        <v>496</v>
      </c>
    </row>
    <row r="132" spans="1:26" x14ac:dyDescent="0.2">
      <c r="A132" t="s">
        <v>490</v>
      </c>
      <c r="B132" s="9">
        <f>I132</f>
        <v>9</v>
      </c>
      <c r="C132" t="s">
        <v>456</v>
      </c>
      <c r="D132" t="s">
        <v>491</v>
      </c>
      <c r="E132" t="s">
        <v>5</v>
      </c>
      <c r="F132" t="s">
        <v>492</v>
      </c>
      <c r="G132">
        <v>9</v>
      </c>
      <c r="H132">
        <v>1</v>
      </c>
      <c r="I132">
        <v>9</v>
      </c>
      <c r="J132" t="s">
        <v>459</v>
      </c>
      <c r="K132" t="s">
        <v>6</v>
      </c>
      <c r="M132" t="s">
        <v>6</v>
      </c>
      <c r="S132" t="s">
        <v>6</v>
      </c>
      <c r="T132">
        <v>4.0780884799119599E-4</v>
      </c>
      <c r="U132" t="s">
        <v>14</v>
      </c>
      <c r="V132" t="s">
        <v>6</v>
      </c>
      <c r="W132" t="s">
        <v>6</v>
      </c>
      <c r="X132" t="s">
        <v>6</v>
      </c>
      <c r="Y132" t="s">
        <v>31</v>
      </c>
      <c r="Z132" s="10" t="s">
        <v>496</v>
      </c>
    </row>
    <row r="133" spans="1:26" x14ac:dyDescent="0.2">
      <c r="A133" t="s">
        <v>493</v>
      </c>
      <c r="B133" s="9">
        <f>I133</f>
        <v>9</v>
      </c>
      <c r="C133" t="s">
        <v>456</v>
      </c>
      <c r="D133" t="s">
        <v>494</v>
      </c>
      <c r="E133" t="s">
        <v>5</v>
      </c>
      <c r="F133" t="s">
        <v>495</v>
      </c>
      <c r="G133">
        <v>9</v>
      </c>
      <c r="H133">
        <v>1</v>
      </c>
      <c r="I133">
        <v>9</v>
      </c>
      <c r="J133" t="s">
        <v>459</v>
      </c>
      <c r="K133" t="s">
        <v>6</v>
      </c>
      <c r="M133" t="s">
        <v>6</v>
      </c>
      <c r="S133" t="s">
        <v>6</v>
      </c>
      <c r="T133">
        <v>1.2041521767932101E-3</v>
      </c>
      <c r="U133" t="s">
        <v>14</v>
      </c>
      <c r="V133" t="s">
        <v>6</v>
      </c>
      <c r="W133" t="s">
        <v>6</v>
      </c>
      <c r="X133" t="s">
        <v>6</v>
      </c>
      <c r="Y133" t="s">
        <v>31</v>
      </c>
      <c r="Z133" s="10" t="s">
        <v>496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2026-04-17T04:24:51Z</dcterms:modified>
</cp:coreProperties>
</file>