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124226"/>
  <xr:revisionPtr revIDLastSave="0" documentId="13_ncr:1_{71A8CE7F-D55E-4518-A634-901611933103}" xr6:coauthVersionLast="47" xr6:coauthVersionMax="47" xr10:uidLastSave="{00000000-0000-0000-0000-000000000000}"/>
  <bookViews>
    <workbookView xWindow="-108" yWindow="-108" windowWidth="30936" windowHeight="16896" xr2:uid="{BE4D55F4-5C97-ED45-89E0-5CB8C78281FE}"/>
  </bookViews>
  <sheets>
    <sheet name="Main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</calcChain>
</file>

<file path=xl/sharedStrings.xml><?xml version="1.0" encoding="utf-8"?>
<sst xmlns="http://schemas.openxmlformats.org/spreadsheetml/2006/main" count="826" uniqueCount="204">
  <si>
    <t>EBMC.0014.998_01</t>
  </si>
  <si>
    <t>001311</t>
  </si>
  <si>
    <t>EBMC.0014.998</t>
  </si>
  <si>
    <t>01</t>
  </si>
  <si>
    <t>ЗИП непоставляемый</t>
  </si>
  <si>
    <t>Комплект</t>
  </si>
  <si>
    <t/>
  </si>
  <si>
    <t>KIT-Installation - electro</t>
  </si>
  <si>
    <t>006163_01</t>
  </si>
  <si>
    <t>001343</t>
  </si>
  <si>
    <t>006163</t>
  </si>
  <si>
    <t>Кронштейн</t>
  </si>
  <si>
    <t>Деталь</t>
  </si>
  <si>
    <t>08Х18Н10</t>
  </si>
  <si>
    <t>Bent sheet metal (&lt;500mm)</t>
  </si>
  <si>
    <t>006195_01</t>
  </si>
  <si>
    <t>001392</t>
  </si>
  <si>
    <t>006195</t>
  </si>
  <si>
    <t>Монтажная пластина</t>
  </si>
  <si>
    <t>Ст.20</t>
  </si>
  <si>
    <t>Cutting sheets(&lt;=5 mm thickness)</t>
  </si>
  <si>
    <t>005555_01</t>
  </si>
  <si>
    <t>005555</t>
  </si>
  <si>
    <t>Панель</t>
  </si>
  <si>
    <t>005556_01</t>
  </si>
  <si>
    <t>005556</t>
  </si>
  <si>
    <t>Пластина</t>
  </si>
  <si>
    <t>006192_01</t>
  </si>
  <si>
    <t>001393</t>
  </si>
  <si>
    <t>006192</t>
  </si>
  <si>
    <t>Шпилька</t>
  </si>
  <si>
    <t>Cutting profile</t>
  </si>
  <si>
    <t>006065_01</t>
  </si>
  <si>
    <t>006065</t>
  </si>
  <si>
    <t>DIN рейка</t>
  </si>
  <si>
    <t>006082_01</t>
  </si>
  <si>
    <t>001397</t>
  </si>
  <si>
    <t>006082</t>
  </si>
  <si>
    <t>Бак СОЖ</t>
  </si>
  <si>
    <t>Пластиковый порошок PA 6</t>
  </si>
  <si>
    <t>3D printing</t>
  </si>
  <si>
    <t>EBMC.421415.004_01</t>
  </si>
  <si>
    <t>001398</t>
  </si>
  <si>
    <t>EBMC.421415.004</t>
  </si>
  <si>
    <t>Панель интерфейсная PAN</t>
  </si>
  <si>
    <t>Сборочная единица</t>
  </si>
  <si>
    <t>Assembly of electrical cabinets and units</t>
  </si>
  <si>
    <t>005473_01</t>
  </si>
  <si>
    <t>005473</t>
  </si>
  <si>
    <t>Разъем панели интерфейсов</t>
  </si>
  <si>
    <t>006166_02</t>
  </si>
  <si>
    <t>006166</t>
  </si>
  <si>
    <t>02</t>
  </si>
  <si>
    <t>Привод подачи</t>
  </si>
  <si>
    <t>PKI_0000337_00</t>
  </si>
  <si>
    <t>001399</t>
  </si>
  <si>
    <t>PKI_0000337</t>
  </si>
  <si>
    <t>00</t>
  </si>
  <si>
    <t>Сборка AM-BL2453BF-2409, AM-EN1611S103-1024, AM-24GPB-16</t>
  </si>
  <si>
    <t>Покупное изделие</t>
  </si>
  <si>
    <t>AssunMotorLtd</t>
  </si>
  <si>
    <t>AM-BL2453BF-2409, AM-EN1611S103-1024, AM-24GPB-16</t>
  </si>
  <si>
    <t>PKI_0000401_00</t>
  </si>
  <si>
    <t>PKI_0000401</t>
  </si>
  <si>
    <t>Соединитель панельный резьбовой G1/4 M20X1</t>
  </si>
  <si>
    <t>Camozzi</t>
  </si>
  <si>
    <t>PKI_0000322_00</t>
  </si>
  <si>
    <t>PKI_0000322</t>
  </si>
  <si>
    <t>Сальник PGM 9 металлический, диаметр проводника 4-8мм</t>
  </si>
  <si>
    <t>IEK</t>
  </si>
  <si>
    <t>Сальник PGM 9 металлический диаметр 4-8мм</t>
  </si>
  <si>
    <t>YSA50-08-15-68-K23</t>
  </si>
  <si>
    <t>PKI_0000399_00</t>
  </si>
  <si>
    <t>PKI_0000399</t>
  </si>
  <si>
    <t>Пневморозетка универсальная наруж. резьба G1/4" A320/2</t>
  </si>
  <si>
    <t>Пневмакс</t>
  </si>
  <si>
    <t>Пневморозетка универсальная наруж. резьба G1/4" A2</t>
  </si>
  <si>
    <t>PKI_0000400_00</t>
  </si>
  <si>
    <t>PKI_0000400</t>
  </si>
  <si>
    <t>Фитинг S6520 10-1/4</t>
  </si>
  <si>
    <t>PKI_0000338_00</t>
  </si>
  <si>
    <t>PKI_0000338</t>
  </si>
  <si>
    <t>Гильза медная ГМ 4-3</t>
  </si>
  <si>
    <t>Rexant</t>
  </si>
  <si>
    <t>PKI_0000307_00</t>
  </si>
  <si>
    <t>PKI_0000307</t>
  </si>
  <si>
    <t>Обжимной корпус розетки Molex 510650600</t>
  </si>
  <si>
    <t>Molex</t>
  </si>
  <si>
    <t>Чип и Дип</t>
  </si>
  <si>
    <t>PKI_0000268_00</t>
  </si>
  <si>
    <t>PKI_0000268</t>
  </si>
  <si>
    <t>Вилка на кабель USB 3.0 A DS1107-01LN3</t>
  </si>
  <si>
    <t>Connfly</t>
  </si>
  <si>
    <t>PKI_0000262_00</t>
  </si>
  <si>
    <t>PKI_0000262</t>
  </si>
  <si>
    <t>Кабель Vention USB 2.0 Type-A - USB 2.0 Type-A</t>
  </si>
  <si>
    <t>Vention</t>
  </si>
  <si>
    <t>PKI_0000263_00</t>
  </si>
  <si>
    <t>PKI_0000263</t>
  </si>
  <si>
    <t>NTC термистор B57703-M 103-G, 10 кОм</t>
  </si>
  <si>
    <t>EPCOS</t>
  </si>
  <si>
    <t>PKI_0000264_00</t>
  </si>
  <si>
    <t>PKI_0000264</t>
  </si>
  <si>
    <t>Кабель HDMI ExeGate EX-CC-HDMI2-0.5F</t>
  </si>
  <si>
    <t>ExeGate</t>
  </si>
  <si>
    <t>PKI_0000265_00</t>
  </si>
  <si>
    <t>PKI_0000265</t>
  </si>
  <si>
    <t>Резистор H83K01BYA</t>
  </si>
  <si>
    <t>TEConnectivity</t>
  </si>
  <si>
    <t>PKI_0000267_00</t>
  </si>
  <si>
    <t>PKI_0000267</t>
  </si>
  <si>
    <t>Патч-корд FTP CAT6 LSZH 0.5m</t>
  </si>
  <si>
    <t>Linoya</t>
  </si>
  <si>
    <t>PKI_0000286_00</t>
  </si>
  <si>
    <t>PKI_0000286</t>
  </si>
  <si>
    <t>Разъём DS1033-09FB</t>
  </si>
  <si>
    <t>PKI_0000272_00</t>
  </si>
  <si>
    <t>PKI_0000272</t>
  </si>
  <si>
    <t>Переходник HDMI на AV RCA CVSB L/R</t>
  </si>
  <si>
    <t>VIXION</t>
  </si>
  <si>
    <t>PKI_0000289_00</t>
  </si>
  <si>
    <t>PKI_0000289</t>
  </si>
  <si>
    <t>Автопредохранитель "норма" 15А L-KLS5-270-015-A</t>
  </si>
  <si>
    <t>KLS</t>
  </si>
  <si>
    <t>PKI_0000290_00</t>
  </si>
  <si>
    <t>PKI_0000290</t>
  </si>
  <si>
    <t>Автопредохранитель "норма" 25А L-KLS5-270-025-A</t>
  </si>
  <si>
    <t>PKI_0000288_00</t>
  </si>
  <si>
    <t>PKI_0000288</t>
  </si>
  <si>
    <t>Блок предохранителей 46.3722</t>
  </si>
  <si>
    <t>Авар</t>
  </si>
  <si>
    <t>PKI_0000291_00</t>
  </si>
  <si>
    <t>PKI_0000291</t>
  </si>
  <si>
    <t>Корпус разъема iGrid 5016461400</t>
  </si>
  <si>
    <t>PKI_0000348_00</t>
  </si>
  <si>
    <t>PKI_0000348</t>
  </si>
  <si>
    <t>Штуцер QSM-M5-4-I</t>
  </si>
  <si>
    <t>Festo</t>
  </si>
  <si>
    <t>PKI_0000244_00</t>
  </si>
  <si>
    <t>PKI_0000244</t>
  </si>
  <si>
    <t>Контакт КГ-10-0,5</t>
  </si>
  <si>
    <t>Каскад НПО</t>
  </si>
  <si>
    <t>06200040</t>
  </si>
  <si>
    <t>EBMC.0014.998_00</t>
  </si>
  <si>
    <t>000628</t>
  </si>
  <si>
    <t>006163_00</t>
  </si>
  <si>
    <t>000714</t>
  </si>
  <si>
    <t>006195_00</t>
  </si>
  <si>
    <t>000744</t>
  </si>
  <si>
    <t>005555_00</t>
  </si>
  <si>
    <t>005556_00</t>
  </si>
  <si>
    <t>006192_00</t>
  </si>
  <si>
    <t>000745</t>
  </si>
  <si>
    <t>006065_00</t>
  </si>
  <si>
    <t>006082_00</t>
  </si>
  <si>
    <t>000749</t>
  </si>
  <si>
    <t>EBMC.421415.004_00</t>
  </si>
  <si>
    <t>000750</t>
  </si>
  <si>
    <t>005473_00</t>
  </si>
  <si>
    <t>Набор разъема панельного интерфейсов</t>
  </si>
  <si>
    <t>006166_00</t>
  </si>
  <si>
    <t>PKI_0000342_00</t>
  </si>
  <si>
    <t>000751</t>
  </si>
  <si>
    <t>PKI_0000342</t>
  </si>
  <si>
    <t>Сборка AM-BL2453BF-2409, AM-EN1611S103-1024, AM-24GPB-22</t>
  </si>
  <si>
    <t>AM-BL2453BF-2409, AM-EN1611S103-1024, AM-24GPB-22</t>
  </si>
  <si>
    <t>PKI_0000302_00</t>
  </si>
  <si>
    <t>PKI_0000302</t>
  </si>
  <si>
    <t>Быстроразъемная розетка Camozzi 5000 5081-1/4</t>
  </si>
  <si>
    <t>PKI_0000303_00</t>
  </si>
  <si>
    <t>PKI_0000303</t>
  </si>
  <si>
    <t>Фитинг цанговый угловой Camozzi S6520-6-1/4</t>
  </si>
  <si>
    <t>Producer</t>
  </si>
  <si>
    <t>Distributer</t>
  </si>
  <si>
    <t>ERP_ID</t>
  </si>
  <si>
    <t>Target_assembly</t>
  </si>
  <si>
    <t>Supplied_component_number</t>
  </si>
  <si>
    <t>Component_revision</t>
  </si>
  <si>
    <t>Component_name</t>
  </si>
  <si>
    <t>Quantity_in_target_assembly</t>
  </si>
  <si>
    <t>Quantity_of_target_assemblies</t>
  </si>
  <si>
    <t>Quantity_of_parts_total</t>
  </si>
  <si>
    <t>Component_type</t>
  </si>
  <si>
    <t>For_supplied-as-assembly-components_provided_by_supplier</t>
  </si>
  <si>
    <t>Part_material</t>
  </si>
  <si>
    <t>Catalogue_number</t>
  </si>
  <si>
    <t>MBOM_type</t>
  </si>
  <si>
    <t>Mass_kg</t>
  </si>
  <si>
    <t>Producer_article</t>
  </si>
  <si>
    <t>Distributer_article</t>
  </si>
  <si>
    <t>Quantity_change</t>
  </si>
  <si>
    <t>PKI_1000342_00</t>
  </si>
  <si>
    <t>Unit_of_measure</t>
  </si>
  <si>
    <t>Height</t>
  </si>
  <si>
    <t>Width</t>
  </si>
  <si>
    <t>Length</t>
  </si>
  <si>
    <t>Advanced_group</t>
  </si>
  <si>
    <t>Project</t>
  </si>
  <si>
    <t>Components_quantity_in_assembly</t>
  </si>
  <si>
    <t>KMU</t>
  </si>
  <si>
    <t>S1</t>
  </si>
  <si>
    <t>2026-04-16-0014-MBOM</t>
  </si>
  <si>
    <t>0014</t>
  </si>
  <si>
    <t>Initial_doc_no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</si>
</sst>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49" fontId="0" fillId="0" borderId="3" xfId="0" applyNumberFormat="1" applyBorder="1" applyAlignment="1">
      <alignment vertical="center" wrapText="1"/>
    </xf>
    <xf numFmtId="49" fontId="0" fillId="0" borderId="4" xfId="0" applyNumberFormat="1" applyBorder="1" applyAlignment="1">
      <alignment vertical="center" wrapText="1"/>
    </xf>
    <xf numFmtId="49" fontId="0" fillId="0" borderId="2" xfId="0" applyNumberFormat="1" applyBorder="1" applyAlignment="1">
      <alignment vertical="center" wrapText="1"/>
    </xf>
    <xf numFmtId="49" fontId="0" fillId="0" borderId="2" xfId="0" applyNumberFormat="1" applyBorder="1" applyAlignment="1">
      <alignment vertical="center"/>
    </xf>
    <xf numFmtId="49" fontId="0" fillId="0" borderId="2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center" wrapText="1"/>
    </xf>
    <xf numFmtId="0" fontId="0" fillId="3" borderId="0" xfId="0" applyFill="1"/>
    <xf numFmtId="0" fontId="0" fillId="3" borderId="5" xfId="0" applyFill="1" applyBorder="1"/>
    <xf numFmtId="0" fontId="0" fillId="3" borderId="0" xfId="0" applyFill="1" applyAlignment="1">
      <alignment horizontal="left"/>
    </xf>
    <xf numFmtId="49" fontId="0" fillId="0" borderId="0" xfId="0" applyNumberFormat="1"/>
    <xf numFmtId="49" fontId="0" fillId="2" borderId="1" xfId="0" applyNumberFormat="1" applyFill="1" applyBorder="1" applyAlignment="1">
      <alignment vertical="center" wrapText="1"/>
    </xf>
  </cellXfs>
  <cellStyles count="1">
    <cellStyle name="Обычный" xfId="0" builtinId="0"/>
  </cellStyles>
  <dxfs count="5">
    <dxf>
      <numFmt numFmtId="30" formatCode="@"/>
    </dxf>
    <dxf>
      <numFmt numFmtId="0" formatCode="General"/>
      <alignment horizontal="lef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numFmt numFmtId="30" formatCode="@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01C4CD-90F3-DF41-83B7-5F6A8D4DDAEE}" name="Таблица1" displayName="Таблица1" ref="A1:AA48" totalsRowShown="0" headerRowDxfId="4" headerRowBorderDxfId="3" tableBorderDxfId="2">
  <autoFilter ref="A1:AA48" xr:uid="{300396F4-6A67-A844-81DA-22C817E8B227}"/>
  <tableColumns count="27">
    <tableColumn id="3" xr3:uid="{00000000-0010-0000-0100-000003000000}" name="ERP_ID"/>
    <tableColumn id="21" xr3:uid="{00000000-0010-0000-0100-000015000000}" name="Quantity_change" dataDxfId="1">
      <calculatedColumnFormula>Таблица1[[#This Row],[Quantity_of_parts_total]]-AC2</calculatedColumnFormula>
    </tableColumn>
    <tableColumn id="4" xr3:uid="{00000000-0010-0000-0100-000004000000}" name="Target_assembly"/>
    <tableColumn id="5" xr3:uid="{00000000-0010-0000-0100-000005000000}" name="Supplied_component_number"/>
    <tableColumn id="6" xr3:uid="{00000000-0010-0000-0100-000006000000}" name="Component_revision"/>
    <tableColumn id="7" xr3:uid="{00000000-0010-0000-0100-000007000000}" name="Component_name"/>
    <tableColumn id="8" xr3:uid="{00000000-0010-0000-0100-000008000000}" name="Quantity_in_target_assembly"/>
    <tableColumn id="9" xr3:uid="{00000000-0010-0000-0100-000009000000}" name="Quantity_of_target_assemblies"/>
    <tableColumn id="10" xr3:uid="{00000000-0010-0000-0100-00000A000000}" name="Quantity_of_parts_total"/>
    <tableColumn id="11" xr3:uid="{00000000-0010-0000-0100-00000B000000}" name="Component_type"/>
    <tableColumn id="12" xr3:uid="{00000000-0010-0000-0100-00000C000000}" name="For_supplied-as-assembly-components_provided_by_supplier"/>
    <tableColumn id="1" xr3:uid="{1E30A0CC-BB01-E24B-87FA-5C24D18DAEF7}" name="Components_quantity_in_assembly"/>
    <tableColumn id="13" xr3:uid="{00000000-0010-0000-0100-00000D000000}" name="Part_material"/>
    <tableColumn id="14" xr3:uid="{00000000-0010-0000-0100-00000E000000}" name="Producer"/>
    <tableColumn id="15" xr3:uid="{00000000-0010-0000-0100-00000F000000}" name="Catalogue_number"/>
    <tableColumn id="16" xr3:uid="{00000000-0010-0000-0100-000010000000}" name="Producer_article"/>
    <tableColumn id="17" xr3:uid="{00000000-0010-0000-0100-000011000000}" name="Distributer"/>
    <tableColumn id="18" xr3:uid="{00000000-0010-0000-0100-000012000000}" name="Distributer_article"/>
    <tableColumn id="19" xr3:uid="{00000000-0010-0000-0100-000013000000}" name="MBOM_type"/>
    <tableColumn id="20" xr3:uid="{00000000-0010-0000-0100-000014000000}" name="Mass_kg"/>
    <tableColumn id="22" xr3:uid="{121ED80E-6288-8E45-BC60-239C1C4FA02B}" name="Unit_of_measure"/>
    <tableColumn id="23" xr3:uid="{AF8F9DF1-F7E3-7244-ADE6-17FD60690704}" name="Height"/>
    <tableColumn id="24" xr3:uid="{5D648B42-EAA1-8B4A-841C-5964382FFAD5}" name="Width"/>
    <tableColumn id="25" xr3:uid="{98205EFB-06E3-B740-91FB-EACD1275E56F}" name="Length"/>
    <tableColumn id="26" xr3:uid="{3217B408-38E2-6C43-BB9B-9942147FB88E}" name="Advanced_group"/>
    <tableColumn id="27" xr3:uid="{828652F6-F6EC-5041-978E-CF18C12C1C45}" name="Project" dataDxfId="0"/>
    <tableColumn id="2" xr3:uid="{838A8536-2553-405A-8CA8-CAD91E907C43}" name="Initial_doc_n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13FF0-7739-B140-914A-19598B3E2B1F}">
  <dimension ref="A1:AC48"/>
  <sheetViews>
    <sheetView tabSelected="1" topLeftCell="O1" zoomScale="115" zoomScaleNormal="115" workbookViewId="0">
      <selection activeCell="X4" sqref="X4"/>
    </sheetView>
  </sheetViews>
  <sheetFormatPr defaultColWidth="8.77734375" defaultRowHeight="14.4" x14ac:dyDescent="0.3"/>
  <cols>
    <col min="1" max="2" width="17.109375" customWidth="1"/>
    <col min="3" max="3" width="20.6640625" bestFit="1" customWidth="1"/>
    <col min="4" max="4" width="16.6640625" bestFit="1" customWidth="1"/>
    <col min="5" max="5" width="20.109375" bestFit="1" customWidth="1"/>
    <col min="6" max="6" width="39" customWidth="1"/>
    <col min="7" max="7" width="61" bestFit="1" customWidth="1"/>
    <col min="8" max="8" width="30.44140625" bestFit="1" customWidth="1"/>
    <col min="9" max="9" width="28.33203125" bestFit="1" customWidth="1"/>
    <col min="10" max="10" width="25.77734375" bestFit="1" customWidth="1"/>
    <col min="11" max="12" width="31.33203125" customWidth="1"/>
    <col min="13" max="13" width="23" bestFit="1" customWidth="1"/>
    <col min="14" max="14" width="26.6640625" bestFit="1" customWidth="1"/>
    <col min="15" max="15" width="14.77734375" bestFit="1" customWidth="1"/>
    <col min="16" max="16" width="53.77734375" bestFit="1" customWidth="1"/>
    <col min="17" max="17" width="19.33203125" bestFit="1" customWidth="1"/>
    <col min="18" max="18" width="11.44140625" bestFit="1" customWidth="1"/>
    <col min="19" max="19" width="28.44140625" bestFit="1" customWidth="1"/>
    <col min="20" max="20" width="37.109375" bestFit="1" customWidth="1"/>
    <col min="21" max="21" width="9.77734375" customWidth="1"/>
    <col min="27" max="27" width="22.33203125" customWidth="1"/>
  </cols>
  <sheetData>
    <row r="1" spans="1:29" s="1" customFormat="1" ht="28.05" customHeight="1" thickBot="1" x14ac:dyDescent="0.35">
      <c r="A1" s="3" t="s">
        <v>174</v>
      </c>
      <c r="B1" s="4" t="s">
        <v>190</v>
      </c>
      <c r="C1" s="5" t="s">
        <v>175</v>
      </c>
      <c r="D1" s="5" t="s">
        <v>176</v>
      </c>
      <c r="E1" s="5" t="s">
        <v>177</v>
      </c>
      <c r="F1" s="5" t="s">
        <v>178</v>
      </c>
      <c r="G1" s="5" t="s">
        <v>179</v>
      </c>
      <c r="H1" s="5" t="s">
        <v>180</v>
      </c>
      <c r="I1" s="5" t="s">
        <v>181</v>
      </c>
      <c r="J1" s="5" t="s">
        <v>182</v>
      </c>
      <c r="K1" s="5" t="s">
        <v>183</v>
      </c>
      <c r="L1" s="5" t="s">
        <v>198</v>
      </c>
      <c r="M1" s="5" t="s">
        <v>184</v>
      </c>
      <c r="N1" s="5" t="s">
        <v>172</v>
      </c>
      <c r="O1" s="5" t="s">
        <v>185</v>
      </c>
      <c r="P1" s="6" t="s">
        <v>188</v>
      </c>
      <c r="Q1" s="5" t="s">
        <v>173</v>
      </c>
      <c r="R1" s="5" t="s">
        <v>189</v>
      </c>
      <c r="S1" s="5" t="s">
        <v>186</v>
      </c>
      <c r="T1" s="7" t="s">
        <v>187</v>
      </c>
      <c r="U1" s="8" t="s">
        <v>192</v>
      </c>
      <c r="V1" s="8" t="s">
        <v>193</v>
      </c>
      <c r="W1" s="8" t="s">
        <v>194</v>
      </c>
      <c r="X1" s="8" t="s">
        <v>195</v>
      </c>
      <c r="Y1" s="8" t="s">
        <v>196</v>
      </c>
      <c r="Z1" s="8" t="s">
        <v>197</v>
      </c>
      <c r="AA1" s="13" t="s">
        <v>203</v>
      </c>
    </row>
    <row r="2" spans="1:29" x14ac:dyDescent="0.3">
      <c r="A2" s="2" t="s">
        <v>0</v>
      </c>
      <c r="B2" s="2">
        <f>Таблица1[[#This Row],[Quantity_of_parts_total]]-AC2</f>
        <v>1</v>
      </c>
      <c r="C2" s="2" t="s">
        <v>1</v>
      </c>
      <c r="D2" s="2" t="s">
        <v>2</v>
      </c>
      <c r="E2" s="2" t="s">
        <v>3</v>
      </c>
      <c r="F2" s="2" t="s">
        <v>4</v>
      </c>
      <c r="G2" s="2">
        <v>1</v>
      </c>
      <c r="H2" s="2">
        <v>1</v>
      </c>
      <c r="I2" s="2">
        <v>2</v>
      </c>
      <c r="J2" s="2" t="s">
        <v>5</v>
      </c>
      <c r="K2" s="2" t="s">
        <v>6</v>
      </c>
      <c r="L2" s="2"/>
      <c r="M2" s="2" t="s">
        <v>6</v>
      </c>
      <c r="N2" s="2" t="s">
        <v>6</v>
      </c>
      <c r="O2" s="2" t="s">
        <v>6</v>
      </c>
      <c r="P2" s="2" t="s">
        <v>6</v>
      </c>
      <c r="Q2" s="2" t="s">
        <v>6</v>
      </c>
      <c r="R2" s="2" t="s">
        <v>6</v>
      </c>
      <c r="S2" s="2" t="s">
        <v>7</v>
      </c>
      <c r="Y2" t="s">
        <v>199</v>
      </c>
      <c r="Z2" s="12" t="s">
        <v>202</v>
      </c>
      <c r="AA2" t="s">
        <v>201</v>
      </c>
      <c r="AC2" s="11">
        <v>1</v>
      </c>
    </row>
    <row r="3" spans="1:29" x14ac:dyDescent="0.3">
      <c r="A3" s="2" t="s">
        <v>8</v>
      </c>
      <c r="B3" s="2">
        <f>Таблица1[[#This Row],[Quantity_of_parts_total]]-AC3</f>
        <v>-9</v>
      </c>
      <c r="C3" s="2" t="s">
        <v>9</v>
      </c>
      <c r="D3" s="2" t="s">
        <v>10</v>
      </c>
      <c r="E3" s="2" t="s">
        <v>3</v>
      </c>
      <c r="F3" s="2" t="s">
        <v>11</v>
      </c>
      <c r="G3" s="2">
        <v>9</v>
      </c>
      <c r="H3" s="2">
        <v>1</v>
      </c>
      <c r="I3" s="2">
        <v>0</v>
      </c>
      <c r="J3" s="2" t="s">
        <v>12</v>
      </c>
      <c r="K3" s="2" t="s">
        <v>6</v>
      </c>
      <c r="L3" s="2"/>
      <c r="M3" s="2" t="s">
        <v>13</v>
      </c>
      <c r="N3" s="2" t="s">
        <v>6</v>
      </c>
      <c r="O3" s="2" t="s">
        <v>6</v>
      </c>
      <c r="P3" s="2" t="s">
        <v>6</v>
      </c>
      <c r="Q3" s="2" t="s">
        <v>6</v>
      </c>
      <c r="R3" s="2" t="s">
        <v>6</v>
      </c>
      <c r="S3" s="2" t="s">
        <v>14</v>
      </c>
      <c r="Y3" t="s">
        <v>199</v>
      </c>
      <c r="Z3" s="12" t="s">
        <v>202</v>
      </c>
      <c r="AA3" t="s">
        <v>201</v>
      </c>
      <c r="AC3" s="2">
        <v>9</v>
      </c>
    </row>
    <row r="4" spans="1:29" x14ac:dyDescent="0.3">
      <c r="A4" s="2" t="s">
        <v>15</v>
      </c>
      <c r="B4" s="2">
        <f>Таблица1[[#This Row],[Quantity_of_parts_total]]-AC4</f>
        <v>-11</v>
      </c>
      <c r="C4" s="2" t="s">
        <v>16</v>
      </c>
      <c r="D4" s="2" t="s">
        <v>17</v>
      </c>
      <c r="E4" s="2" t="s">
        <v>3</v>
      </c>
      <c r="F4" s="2" t="s">
        <v>18</v>
      </c>
      <c r="G4" s="2">
        <v>9</v>
      </c>
      <c r="H4" s="2">
        <v>1</v>
      </c>
      <c r="I4" s="2">
        <v>-2</v>
      </c>
      <c r="J4" s="2" t="s">
        <v>12</v>
      </c>
      <c r="K4" s="2" t="s">
        <v>6</v>
      </c>
      <c r="L4" s="2"/>
      <c r="M4" s="2" t="s">
        <v>19</v>
      </c>
      <c r="N4" s="2" t="s">
        <v>6</v>
      </c>
      <c r="O4" s="2" t="s">
        <v>6</v>
      </c>
      <c r="P4" s="2" t="s">
        <v>6</v>
      </c>
      <c r="Q4" s="2" t="s">
        <v>6</v>
      </c>
      <c r="R4" s="2" t="s">
        <v>6</v>
      </c>
      <c r="S4" s="2" t="s">
        <v>20</v>
      </c>
      <c r="Y4" t="s">
        <v>199</v>
      </c>
      <c r="Z4" s="12" t="s">
        <v>202</v>
      </c>
      <c r="AA4" t="s">
        <v>201</v>
      </c>
      <c r="AC4" s="11">
        <v>9</v>
      </c>
    </row>
    <row r="5" spans="1:29" x14ac:dyDescent="0.3">
      <c r="A5" s="2" t="s">
        <v>21</v>
      </c>
      <c r="B5" s="2">
        <f>Таблица1[[#This Row],[Quantity_of_parts_total]]-AC5</f>
        <v>-7</v>
      </c>
      <c r="C5" s="2" t="s">
        <v>16</v>
      </c>
      <c r="D5" t="s">
        <v>22</v>
      </c>
      <c r="E5" t="s">
        <v>3</v>
      </c>
      <c r="F5" t="s">
        <v>23</v>
      </c>
      <c r="G5">
        <v>9</v>
      </c>
      <c r="H5">
        <v>1</v>
      </c>
      <c r="I5" s="2">
        <v>2</v>
      </c>
      <c r="J5" t="s">
        <v>12</v>
      </c>
      <c r="K5" t="s">
        <v>6</v>
      </c>
      <c r="M5" t="s">
        <v>13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20</v>
      </c>
      <c r="Y5" t="s">
        <v>199</v>
      </c>
      <c r="Z5" s="12" t="s">
        <v>202</v>
      </c>
      <c r="AA5" t="s">
        <v>201</v>
      </c>
      <c r="AC5">
        <v>9</v>
      </c>
    </row>
    <row r="6" spans="1:29" x14ac:dyDescent="0.3">
      <c r="A6" t="s">
        <v>24</v>
      </c>
      <c r="B6" s="2">
        <f>Таблица1[[#This Row],[Quantity_of_parts_total]]-AC6</f>
        <v>-9</v>
      </c>
      <c r="C6" t="s">
        <v>16</v>
      </c>
      <c r="D6" t="s">
        <v>25</v>
      </c>
      <c r="E6" t="s">
        <v>3</v>
      </c>
      <c r="F6" t="s">
        <v>26</v>
      </c>
      <c r="G6">
        <v>9</v>
      </c>
      <c r="H6">
        <v>1</v>
      </c>
      <c r="I6" s="2">
        <v>0</v>
      </c>
      <c r="J6" t="s">
        <v>12</v>
      </c>
      <c r="K6" t="s">
        <v>6</v>
      </c>
      <c r="M6" t="s">
        <v>19</v>
      </c>
      <c r="N6" t="s">
        <v>6</v>
      </c>
      <c r="O6" t="s">
        <v>6</v>
      </c>
      <c r="P6" t="s">
        <v>6</v>
      </c>
      <c r="Q6" t="s">
        <v>6</v>
      </c>
      <c r="R6" t="s">
        <v>6</v>
      </c>
      <c r="S6" t="s">
        <v>20</v>
      </c>
      <c r="Y6" t="s">
        <v>199</v>
      </c>
      <c r="Z6" s="12" t="s">
        <v>202</v>
      </c>
      <c r="AA6" t="s">
        <v>201</v>
      </c>
      <c r="AC6" s="9">
        <v>9</v>
      </c>
    </row>
    <row r="7" spans="1:29" x14ac:dyDescent="0.3">
      <c r="A7" t="s">
        <v>27</v>
      </c>
      <c r="B7" s="2">
        <f>Таблица1[[#This Row],[Quantity_of_parts_total]]-AC7</f>
        <v>-11</v>
      </c>
      <c r="C7" t="s">
        <v>28</v>
      </c>
      <c r="D7" t="s">
        <v>29</v>
      </c>
      <c r="E7" t="s">
        <v>3</v>
      </c>
      <c r="F7" t="s">
        <v>30</v>
      </c>
      <c r="G7">
        <v>9</v>
      </c>
      <c r="H7">
        <v>1</v>
      </c>
      <c r="I7" s="2">
        <v>-2</v>
      </c>
      <c r="J7" t="s">
        <v>12</v>
      </c>
      <c r="K7" t="s">
        <v>6</v>
      </c>
      <c r="M7" t="s">
        <v>6</v>
      </c>
      <c r="N7" t="s">
        <v>6</v>
      </c>
      <c r="O7" t="s">
        <v>6</v>
      </c>
      <c r="P7" t="s">
        <v>6</v>
      </c>
      <c r="Q7" t="s">
        <v>6</v>
      </c>
      <c r="R7" t="s">
        <v>6</v>
      </c>
      <c r="S7" t="s">
        <v>31</v>
      </c>
      <c r="Y7" t="s">
        <v>199</v>
      </c>
      <c r="Z7" s="12" t="s">
        <v>202</v>
      </c>
      <c r="AA7" t="s">
        <v>201</v>
      </c>
      <c r="AC7">
        <v>9</v>
      </c>
    </row>
    <row r="8" spans="1:29" x14ac:dyDescent="0.3">
      <c r="A8" t="s">
        <v>32</v>
      </c>
      <c r="B8" s="2">
        <f>Таблица1[[#This Row],[Quantity_of_parts_total]]-AC8</f>
        <v>-7</v>
      </c>
      <c r="C8" t="s">
        <v>28</v>
      </c>
      <c r="D8" t="s">
        <v>33</v>
      </c>
      <c r="E8" t="s">
        <v>3</v>
      </c>
      <c r="F8" t="s">
        <v>34</v>
      </c>
      <c r="G8">
        <v>9</v>
      </c>
      <c r="H8">
        <v>1</v>
      </c>
      <c r="I8" s="2">
        <v>2</v>
      </c>
      <c r="J8" t="s">
        <v>12</v>
      </c>
      <c r="K8" t="s">
        <v>6</v>
      </c>
      <c r="M8" t="s">
        <v>6</v>
      </c>
      <c r="N8" t="s">
        <v>6</v>
      </c>
      <c r="O8" t="s">
        <v>6</v>
      </c>
      <c r="P8" t="s">
        <v>6</v>
      </c>
      <c r="Q8" t="s">
        <v>6</v>
      </c>
      <c r="R8" t="s">
        <v>6</v>
      </c>
      <c r="S8" t="s">
        <v>31</v>
      </c>
      <c r="Y8" t="s">
        <v>199</v>
      </c>
      <c r="Z8" s="12" t="s">
        <v>202</v>
      </c>
      <c r="AA8" t="s">
        <v>201</v>
      </c>
      <c r="AC8" s="9">
        <v>9</v>
      </c>
    </row>
    <row r="9" spans="1:29" x14ac:dyDescent="0.3">
      <c r="A9" t="s">
        <v>35</v>
      </c>
      <c r="B9" s="2">
        <f>Таблица1[[#This Row],[Quantity_of_parts_total]]-AC9</f>
        <v>-9</v>
      </c>
      <c r="C9" t="s">
        <v>36</v>
      </c>
      <c r="D9" t="s">
        <v>37</v>
      </c>
      <c r="E9" t="s">
        <v>3</v>
      </c>
      <c r="F9" t="s">
        <v>38</v>
      </c>
      <c r="G9">
        <v>9</v>
      </c>
      <c r="H9">
        <v>1</v>
      </c>
      <c r="I9" s="2">
        <v>0</v>
      </c>
      <c r="J9" t="s">
        <v>12</v>
      </c>
      <c r="K9" t="s">
        <v>6</v>
      </c>
      <c r="M9" t="s">
        <v>39</v>
      </c>
      <c r="N9" t="s">
        <v>6</v>
      </c>
      <c r="O9" t="s">
        <v>6</v>
      </c>
      <c r="P9" t="s">
        <v>6</v>
      </c>
      <c r="Q9" t="s">
        <v>6</v>
      </c>
      <c r="R9" t="s">
        <v>6</v>
      </c>
      <c r="S9" t="s">
        <v>40</v>
      </c>
      <c r="Y9" t="s">
        <v>199</v>
      </c>
      <c r="Z9" s="12" t="s">
        <v>202</v>
      </c>
      <c r="AA9" t="s">
        <v>201</v>
      </c>
      <c r="AC9">
        <v>9</v>
      </c>
    </row>
    <row r="10" spans="1:29" x14ac:dyDescent="0.3">
      <c r="A10" t="s">
        <v>41</v>
      </c>
      <c r="B10" s="2">
        <f>Таблица1[[#This Row],[Quantity_of_parts_total]]-AC10</f>
        <v>-11</v>
      </c>
      <c r="C10" t="s">
        <v>42</v>
      </c>
      <c r="D10" t="s">
        <v>43</v>
      </c>
      <c r="E10" t="s">
        <v>3</v>
      </c>
      <c r="F10" t="s">
        <v>44</v>
      </c>
      <c r="G10">
        <v>9</v>
      </c>
      <c r="H10">
        <v>1</v>
      </c>
      <c r="I10" s="2">
        <v>-2</v>
      </c>
      <c r="J10" t="s">
        <v>45</v>
      </c>
      <c r="K10" t="s">
        <v>6</v>
      </c>
      <c r="M10" t="s">
        <v>6</v>
      </c>
      <c r="N10" t="s">
        <v>6</v>
      </c>
      <c r="O10" t="s">
        <v>6</v>
      </c>
      <c r="P10" t="s">
        <v>6</v>
      </c>
      <c r="Q10" t="s">
        <v>6</v>
      </c>
      <c r="R10" t="s">
        <v>6</v>
      </c>
      <c r="S10" t="s">
        <v>46</v>
      </c>
      <c r="Y10" t="s">
        <v>199</v>
      </c>
      <c r="Z10" s="12" t="s">
        <v>202</v>
      </c>
      <c r="AA10" t="s">
        <v>201</v>
      </c>
      <c r="AC10" s="9">
        <v>9</v>
      </c>
    </row>
    <row r="11" spans="1:29" x14ac:dyDescent="0.3">
      <c r="A11" t="s">
        <v>47</v>
      </c>
      <c r="B11" s="2">
        <f>Таблица1[[#This Row],[Quantity_of_parts_total]]-AC11</f>
        <v>-7</v>
      </c>
      <c r="C11" t="s">
        <v>42</v>
      </c>
      <c r="D11" t="s">
        <v>48</v>
      </c>
      <c r="E11" t="s">
        <v>3</v>
      </c>
      <c r="F11" t="s">
        <v>49</v>
      </c>
      <c r="G11">
        <v>9</v>
      </c>
      <c r="H11">
        <v>1</v>
      </c>
      <c r="I11" s="2">
        <v>2</v>
      </c>
      <c r="J11" t="s">
        <v>45</v>
      </c>
      <c r="K11" t="s">
        <v>6</v>
      </c>
      <c r="M11" t="s">
        <v>6</v>
      </c>
      <c r="N11" t="s">
        <v>6</v>
      </c>
      <c r="O11" t="s">
        <v>6</v>
      </c>
      <c r="P11" t="s">
        <v>6</v>
      </c>
      <c r="Q11" t="s">
        <v>6</v>
      </c>
      <c r="R11" t="s">
        <v>6</v>
      </c>
      <c r="S11" t="s">
        <v>46</v>
      </c>
      <c r="Y11" t="s">
        <v>199</v>
      </c>
      <c r="Z11" s="12" t="s">
        <v>202</v>
      </c>
      <c r="AA11" t="s">
        <v>201</v>
      </c>
      <c r="AC11">
        <v>9</v>
      </c>
    </row>
    <row r="12" spans="1:29" x14ac:dyDescent="0.3">
      <c r="A12" t="s">
        <v>50</v>
      </c>
      <c r="B12" s="2">
        <f>Таблица1[[#This Row],[Quantity_of_parts_total]]-AC12</f>
        <v>-9</v>
      </c>
      <c r="C12" t="s">
        <v>42</v>
      </c>
      <c r="D12" t="s">
        <v>51</v>
      </c>
      <c r="E12" t="s">
        <v>52</v>
      </c>
      <c r="F12" t="s">
        <v>53</v>
      </c>
      <c r="G12">
        <v>9</v>
      </c>
      <c r="H12">
        <v>1</v>
      </c>
      <c r="I12" s="2">
        <v>0</v>
      </c>
      <c r="J12" t="s">
        <v>45</v>
      </c>
      <c r="K12" t="s">
        <v>6</v>
      </c>
      <c r="M12" t="s">
        <v>6</v>
      </c>
      <c r="N12" t="s">
        <v>6</v>
      </c>
      <c r="O12" t="s">
        <v>6</v>
      </c>
      <c r="P12" t="s">
        <v>6</v>
      </c>
      <c r="Q12" t="s">
        <v>6</v>
      </c>
      <c r="R12" t="s">
        <v>6</v>
      </c>
      <c r="S12" t="s">
        <v>46</v>
      </c>
      <c r="Y12" t="s">
        <v>199</v>
      </c>
      <c r="Z12" s="12" t="s">
        <v>202</v>
      </c>
      <c r="AA12" t="s">
        <v>201</v>
      </c>
      <c r="AC12" s="9">
        <v>9</v>
      </c>
    </row>
    <row r="13" spans="1:29" x14ac:dyDescent="0.3">
      <c r="A13" t="s">
        <v>54</v>
      </c>
      <c r="B13" s="2">
        <f>Таблица1[[#This Row],[Quantity_of_parts_total]]-AC13</f>
        <v>-12</v>
      </c>
      <c r="C13" t="s">
        <v>55</v>
      </c>
      <c r="D13" t="s">
        <v>56</v>
      </c>
      <c r="E13" t="s">
        <v>57</v>
      </c>
      <c r="F13" t="s">
        <v>58</v>
      </c>
      <c r="G13">
        <v>10</v>
      </c>
      <c r="H13">
        <v>1</v>
      </c>
      <c r="I13" s="2">
        <v>-2</v>
      </c>
      <c r="J13" t="s">
        <v>59</v>
      </c>
      <c r="K13" t="s">
        <v>6</v>
      </c>
      <c r="M13" t="s">
        <v>6</v>
      </c>
      <c r="N13" t="s">
        <v>60</v>
      </c>
      <c r="O13" t="s">
        <v>61</v>
      </c>
      <c r="P13" t="s">
        <v>6</v>
      </c>
      <c r="Q13" t="s">
        <v>6</v>
      </c>
      <c r="R13" t="s">
        <v>6</v>
      </c>
      <c r="S13" t="s">
        <v>6</v>
      </c>
      <c r="Y13" t="s">
        <v>199</v>
      </c>
      <c r="Z13" s="12" t="s">
        <v>202</v>
      </c>
      <c r="AA13" t="s">
        <v>201</v>
      </c>
      <c r="AC13">
        <v>10</v>
      </c>
    </row>
    <row r="14" spans="1:29" x14ac:dyDescent="0.3">
      <c r="A14" t="s">
        <v>62</v>
      </c>
      <c r="B14" s="2">
        <f>Таблица1[[#This Row],[Quantity_of_parts_total]]-AC14</f>
        <v>-7</v>
      </c>
      <c r="C14" t="s">
        <v>55</v>
      </c>
      <c r="D14" t="s">
        <v>63</v>
      </c>
      <c r="E14" t="s">
        <v>57</v>
      </c>
      <c r="F14" t="s">
        <v>64</v>
      </c>
      <c r="G14">
        <v>9</v>
      </c>
      <c r="H14">
        <v>1</v>
      </c>
      <c r="I14" s="2">
        <v>2</v>
      </c>
      <c r="J14" t="s">
        <v>59</v>
      </c>
      <c r="K14" t="s">
        <v>6</v>
      </c>
      <c r="M14" t="s">
        <v>6</v>
      </c>
      <c r="N14" t="s">
        <v>65</v>
      </c>
      <c r="O14" t="s">
        <v>64</v>
      </c>
      <c r="P14" t="s">
        <v>6</v>
      </c>
      <c r="Q14" t="s">
        <v>6</v>
      </c>
      <c r="R14" t="s">
        <v>6</v>
      </c>
      <c r="S14" t="s">
        <v>6</v>
      </c>
      <c r="Y14" t="s">
        <v>199</v>
      </c>
      <c r="Z14" s="12" t="s">
        <v>202</v>
      </c>
      <c r="AA14" t="s">
        <v>201</v>
      </c>
      <c r="AC14" s="9">
        <v>9</v>
      </c>
    </row>
    <row r="15" spans="1:29" x14ac:dyDescent="0.3">
      <c r="A15" s="2" t="s">
        <v>66</v>
      </c>
      <c r="B15" s="2">
        <f>Таблица1[[#This Row],[Quantity_of_parts_total]]-AC15</f>
        <v>-18</v>
      </c>
      <c r="C15" s="2" t="s">
        <v>55</v>
      </c>
      <c r="D15" s="2" t="s">
        <v>67</v>
      </c>
      <c r="E15" s="2" t="s">
        <v>57</v>
      </c>
      <c r="F15" s="2" t="s">
        <v>68</v>
      </c>
      <c r="G15" s="2"/>
      <c r="H15" s="2"/>
      <c r="I15" s="2">
        <v>0</v>
      </c>
      <c r="J15" s="2" t="s">
        <v>59</v>
      </c>
      <c r="K15" s="2" t="s">
        <v>6</v>
      </c>
      <c r="L15" s="2"/>
      <c r="M15" s="2" t="s">
        <v>6</v>
      </c>
      <c r="N15" s="2" t="s">
        <v>69</v>
      </c>
      <c r="O15" s="2" t="s">
        <v>70</v>
      </c>
      <c r="P15" s="2" t="s">
        <v>71</v>
      </c>
      <c r="Q15" s="2" t="s">
        <v>6</v>
      </c>
      <c r="R15" s="2" t="s">
        <v>6</v>
      </c>
      <c r="S15" s="2" t="s">
        <v>6</v>
      </c>
      <c r="Y15" t="s">
        <v>199</v>
      </c>
      <c r="Z15" s="12" t="s">
        <v>202</v>
      </c>
      <c r="AA15" t="s">
        <v>201</v>
      </c>
      <c r="AC15" s="2">
        <v>18</v>
      </c>
    </row>
    <row r="16" spans="1:29" x14ac:dyDescent="0.3">
      <c r="A16" s="2" t="s">
        <v>72</v>
      </c>
      <c r="B16" s="2">
        <f>Таблица1[[#This Row],[Quantity_of_parts_total]]-AC16</f>
        <v>-11</v>
      </c>
      <c r="C16" s="2" t="s">
        <v>55</v>
      </c>
      <c r="D16" s="2" t="s">
        <v>73</v>
      </c>
      <c r="E16" s="2" t="s">
        <v>57</v>
      </c>
      <c r="F16" s="2" t="s">
        <v>74</v>
      </c>
      <c r="G16" s="2">
        <v>9</v>
      </c>
      <c r="H16" s="2">
        <v>1</v>
      </c>
      <c r="I16" s="2">
        <v>-2</v>
      </c>
      <c r="J16" s="2" t="s">
        <v>59</v>
      </c>
      <c r="K16" s="2" t="s">
        <v>6</v>
      </c>
      <c r="L16" s="2"/>
      <c r="M16" s="2" t="s">
        <v>6</v>
      </c>
      <c r="N16" t="s">
        <v>75</v>
      </c>
      <c r="O16" t="s">
        <v>76</v>
      </c>
      <c r="P16" t="s">
        <v>6</v>
      </c>
      <c r="Q16" t="s">
        <v>6</v>
      </c>
      <c r="R16" t="s">
        <v>6</v>
      </c>
      <c r="S16" t="s">
        <v>6</v>
      </c>
      <c r="Y16" t="s">
        <v>199</v>
      </c>
      <c r="Z16" s="12" t="s">
        <v>202</v>
      </c>
      <c r="AA16" t="s">
        <v>201</v>
      </c>
      <c r="AC16" s="11">
        <v>9</v>
      </c>
    </row>
    <row r="17" spans="1:29" x14ac:dyDescent="0.3">
      <c r="A17" t="s">
        <v>77</v>
      </c>
      <c r="B17" s="2">
        <f>Таблица1[[#This Row],[Quantity_of_parts_total]]-AC17</f>
        <v>-27</v>
      </c>
      <c r="C17" t="s">
        <v>55</v>
      </c>
      <c r="D17" t="s">
        <v>78</v>
      </c>
      <c r="E17" t="s">
        <v>57</v>
      </c>
      <c r="F17" t="s">
        <v>79</v>
      </c>
      <c r="G17">
        <v>27</v>
      </c>
      <c r="H17">
        <v>1</v>
      </c>
      <c r="I17">
        <v>0</v>
      </c>
      <c r="J17" t="s">
        <v>59</v>
      </c>
      <c r="K17" t="s">
        <v>6</v>
      </c>
      <c r="M17" t="s">
        <v>6</v>
      </c>
      <c r="N17" t="s">
        <v>65</v>
      </c>
      <c r="O17" t="s">
        <v>79</v>
      </c>
      <c r="P17" t="s">
        <v>6</v>
      </c>
      <c r="Q17" t="s">
        <v>6</v>
      </c>
      <c r="R17" t="s">
        <v>6</v>
      </c>
      <c r="S17" t="s">
        <v>6</v>
      </c>
      <c r="Y17" t="s">
        <v>199</v>
      </c>
      <c r="Z17" s="12" t="s">
        <v>202</v>
      </c>
      <c r="AA17" t="s">
        <v>201</v>
      </c>
      <c r="AC17">
        <v>27</v>
      </c>
    </row>
    <row r="18" spans="1:29" x14ac:dyDescent="0.3">
      <c r="A18" s="2" t="s">
        <v>80</v>
      </c>
      <c r="B18" s="2">
        <f>Таблица1[[#This Row],[Quantity_of_parts_total]]-AC18</f>
        <v>-18</v>
      </c>
      <c r="C18" s="2" t="s">
        <v>55</v>
      </c>
      <c r="D18" s="2" t="s">
        <v>81</v>
      </c>
      <c r="E18" s="2" t="s">
        <v>57</v>
      </c>
      <c r="F18" s="2" t="s">
        <v>82</v>
      </c>
      <c r="G18" s="2"/>
      <c r="H18" s="2"/>
      <c r="I18">
        <v>0</v>
      </c>
      <c r="J18" s="2" t="s">
        <v>59</v>
      </c>
      <c r="K18" s="2" t="s">
        <v>6</v>
      </c>
      <c r="L18" s="2"/>
      <c r="M18" s="2" t="s">
        <v>6</v>
      </c>
      <c r="N18" s="2" t="s">
        <v>83</v>
      </c>
      <c r="O18" s="2" t="s">
        <v>82</v>
      </c>
      <c r="P18" s="2" t="s">
        <v>6</v>
      </c>
      <c r="Q18" s="2" t="s">
        <v>6</v>
      </c>
      <c r="R18" s="2" t="s">
        <v>6</v>
      </c>
      <c r="S18" s="2" t="s">
        <v>6</v>
      </c>
      <c r="Y18" t="s">
        <v>199</v>
      </c>
      <c r="Z18" s="12" t="s">
        <v>202</v>
      </c>
      <c r="AA18" t="s">
        <v>201</v>
      </c>
      <c r="AC18" s="11">
        <v>18</v>
      </c>
    </row>
    <row r="19" spans="1:29" x14ac:dyDescent="0.3">
      <c r="A19" s="2" t="s">
        <v>84</v>
      </c>
      <c r="B19" s="2">
        <f>Таблица1[[#This Row],[Quantity_of_parts_total]]-AC19</f>
        <v>-9</v>
      </c>
      <c r="C19" s="2" t="s">
        <v>55</v>
      </c>
      <c r="D19" s="2" t="s">
        <v>85</v>
      </c>
      <c r="E19" s="2" t="s">
        <v>57</v>
      </c>
      <c r="F19" s="2" t="s">
        <v>86</v>
      </c>
      <c r="G19" s="2">
        <v>9</v>
      </c>
      <c r="H19" s="2">
        <v>1</v>
      </c>
      <c r="I19">
        <v>0</v>
      </c>
      <c r="J19" s="2" t="s">
        <v>59</v>
      </c>
      <c r="K19" s="2" t="s">
        <v>6</v>
      </c>
      <c r="L19" s="2"/>
      <c r="M19" s="2" t="s">
        <v>6</v>
      </c>
      <c r="N19" t="s">
        <v>87</v>
      </c>
      <c r="O19" t="s">
        <v>86</v>
      </c>
      <c r="P19" t="s">
        <v>6</v>
      </c>
      <c r="Q19" t="s">
        <v>88</v>
      </c>
      <c r="R19" t="s">
        <v>6</v>
      </c>
      <c r="S19" t="s">
        <v>6</v>
      </c>
      <c r="Y19" t="s">
        <v>199</v>
      </c>
      <c r="Z19" s="12" t="s">
        <v>202</v>
      </c>
      <c r="AA19" t="s">
        <v>201</v>
      </c>
      <c r="AC19" s="2">
        <v>9</v>
      </c>
    </row>
    <row r="20" spans="1:29" x14ac:dyDescent="0.3">
      <c r="A20" t="s">
        <v>89</v>
      </c>
      <c r="B20" s="2">
        <f>Таблица1[[#This Row],[Quantity_of_parts_total]]-AC20</f>
        <v>-18</v>
      </c>
      <c r="C20" t="s">
        <v>55</v>
      </c>
      <c r="D20" t="s">
        <v>90</v>
      </c>
      <c r="E20" t="s">
        <v>57</v>
      </c>
      <c r="F20" t="s">
        <v>91</v>
      </c>
      <c r="G20">
        <v>18</v>
      </c>
      <c r="H20">
        <v>1</v>
      </c>
      <c r="I20">
        <v>0</v>
      </c>
      <c r="J20" t="s">
        <v>59</v>
      </c>
      <c r="K20" t="s">
        <v>6</v>
      </c>
      <c r="M20" t="s">
        <v>6</v>
      </c>
      <c r="N20" t="s">
        <v>92</v>
      </c>
      <c r="O20" t="s">
        <v>91</v>
      </c>
      <c r="P20" t="s">
        <v>6</v>
      </c>
      <c r="Q20" t="s">
        <v>88</v>
      </c>
      <c r="R20" t="s">
        <v>6</v>
      </c>
      <c r="S20" t="s">
        <v>6</v>
      </c>
      <c r="Y20" t="s">
        <v>199</v>
      </c>
      <c r="Z20" s="12" t="s">
        <v>202</v>
      </c>
      <c r="AA20" t="s">
        <v>201</v>
      </c>
      <c r="AC20" s="9">
        <v>18</v>
      </c>
    </row>
    <row r="21" spans="1:29" x14ac:dyDescent="0.3">
      <c r="A21" t="s">
        <v>93</v>
      </c>
      <c r="B21" s="2">
        <f>Таблица1[[#This Row],[Quantity_of_parts_total]]-AC21</f>
        <v>-9</v>
      </c>
      <c r="C21" t="s">
        <v>55</v>
      </c>
      <c r="D21" t="s">
        <v>94</v>
      </c>
      <c r="E21" t="s">
        <v>57</v>
      </c>
      <c r="F21" t="s">
        <v>95</v>
      </c>
      <c r="G21">
        <v>9</v>
      </c>
      <c r="H21">
        <v>1</v>
      </c>
      <c r="I21">
        <v>0</v>
      </c>
      <c r="J21" t="s">
        <v>59</v>
      </c>
      <c r="K21" t="s">
        <v>6</v>
      </c>
      <c r="M21" t="s">
        <v>6</v>
      </c>
      <c r="N21" t="s">
        <v>96</v>
      </c>
      <c r="O21" t="s">
        <v>95</v>
      </c>
      <c r="P21" t="s">
        <v>6</v>
      </c>
      <c r="Q21" t="s">
        <v>6</v>
      </c>
      <c r="R21" t="s">
        <v>6</v>
      </c>
      <c r="S21" t="s">
        <v>6</v>
      </c>
      <c r="Y21" t="s">
        <v>199</v>
      </c>
      <c r="Z21" s="12" t="s">
        <v>202</v>
      </c>
      <c r="AA21" t="s">
        <v>201</v>
      </c>
      <c r="AC21">
        <v>9</v>
      </c>
    </row>
    <row r="22" spans="1:29" x14ac:dyDescent="0.3">
      <c r="A22" t="s">
        <v>97</v>
      </c>
      <c r="B22" s="2">
        <f>Таблица1[[#This Row],[Quantity_of_parts_total]]-AC22</f>
        <v>-9</v>
      </c>
      <c r="C22" t="s">
        <v>55</v>
      </c>
      <c r="D22" t="s">
        <v>98</v>
      </c>
      <c r="E22" t="s">
        <v>57</v>
      </c>
      <c r="F22" t="s">
        <v>99</v>
      </c>
      <c r="G22">
        <v>9</v>
      </c>
      <c r="H22">
        <v>1</v>
      </c>
      <c r="I22">
        <v>0</v>
      </c>
      <c r="J22" t="s">
        <v>59</v>
      </c>
      <c r="K22" t="s">
        <v>6</v>
      </c>
      <c r="M22" t="s">
        <v>6</v>
      </c>
      <c r="N22" t="s">
        <v>100</v>
      </c>
      <c r="O22" t="s">
        <v>99</v>
      </c>
      <c r="P22" t="s">
        <v>6</v>
      </c>
      <c r="Q22" t="s">
        <v>88</v>
      </c>
      <c r="R22" t="s">
        <v>6</v>
      </c>
      <c r="S22" t="s">
        <v>6</v>
      </c>
      <c r="Y22" t="s">
        <v>200</v>
      </c>
      <c r="Z22" s="12" t="s">
        <v>202</v>
      </c>
      <c r="AA22" t="s">
        <v>201</v>
      </c>
      <c r="AC22" s="9">
        <v>9</v>
      </c>
    </row>
    <row r="23" spans="1:29" x14ac:dyDescent="0.3">
      <c r="A23" t="s">
        <v>101</v>
      </c>
      <c r="B23" s="2">
        <f>Таблица1[[#This Row],[Quantity_of_parts_total]]-AC23</f>
        <v>-9</v>
      </c>
      <c r="C23" t="s">
        <v>55</v>
      </c>
      <c r="D23" t="s">
        <v>102</v>
      </c>
      <c r="E23" t="s">
        <v>57</v>
      </c>
      <c r="F23" t="s">
        <v>103</v>
      </c>
      <c r="G23">
        <v>9</v>
      </c>
      <c r="H23">
        <v>1</v>
      </c>
      <c r="I23">
        <v>0</v>
      </c>
      <c r="J23" t="s">
        <v>59</v>
      </c>
      <c r="K23" t="s">
        <v>6</v>
      </c>
      <c r="M23" t="s">
        <v>6</v>
      </c>
      <c r="N23" t="s">
        <v>104</v>
      </c>
      <c r="O23" t="s">
        <v>103</v>
      </c>
      <c r="P23" t="s">
        <v>6</v>
      </c>
      <c r="Q23" t="s">
        <v>88</v>
      </c>
      <c r="R23" t="s">
        <v>6</v>
      </c>
      <c r="S23" t="s">
        <v>6</v>
      </c>
      <c r="Y23" t="s">
        <v>200</v>
      </c>
      <c r="Z23" s="12" t="s">
        <v>202</v>
      </c>
      <c r="AA23" t="s">
        <v>201</v>
      </c>
      <c r="AC23">
        <v>9</v>
      </c>
    </row>
    <row r="24" spans="1:29" x14ac:dyDescent="0.3">
      <c r="A24" t="s">
        <v>105</v>
      </c>
      <c r="B24" s="2">
        <f>Таблица1[[#This Row],[Quantity_of_parts_total]]-AC24</f>
        <v>-9</v>
      </c>
      <c r="C24" t="s">
        <v>55</v>
      </c>
      <c r="D24" t="s">
        <v>106</v>
      </c>
      <c r="E24" t="s">
        <v>57</v>
      </c>
      <c r="F24" t="s">
        <v>107</v>
      </c>
      <c r="G24">
        <v>9</v>
      </c>
      <c r="H24">
        <v>1</v>
      </c>
      <c r="I24">
        <v>0</v>
      </c>
      <c r="J24" t="s">
        <v>59</v>
      </c>
      <c r="K24" t="s">
        <v>6</v>
      </c>
      <c r="M24" t="s">
        <v>6</v>
      </c>
      <c r="N24" t="s">
        <v>108</v>
      </c>
      <c r="O24" t="s">
        <v>107</v>
      </c>
      <c r="P24" t="s">
        <v>6</v>
      </c>
      <c r="Q24" t="s">
        <v>88</v>
      </c>
      <c r="R24" t="s">
        <v>6</v>
      </c>
      <c r="S24" t="s">
        <v>6</v>
      </c>
      <c r="Y24" t="s">
        <v>200</v>
      </c>
      <c r="Z24" s="12" t="s">
        <v>202</v>
      </c>
      <c r="AA24" t="s">
        <v>201</v>
      </c>
      <c r="AC24" s="9">
        <v>9</v>
      </c>
    </row>
    <row r="25" spans="1:29" x14ac:dyDescent="0.3">
      <c r="A25" t="s">
        <v>109</v>
      </c>
      <c r="B25" s="2">
        <f>Таблица1[[#This Row],[Quantity_of_parts_total]]-AC25</f>
        <v>-54</v>
      </c>
      <c r="C25" t="s">
        <v>55</v>
      </c>
      <c r="D25" t="s">
        <v>110</v>
      </c>
      <c r="E25" t="s">
        <v>57</v>
      </c>
      <c r="F25" t="s">
        <v>111</v>
      </c>
      <c r="G25">
        <v>54</v>
      </c>
      <c r="H25">
        <v>1</v>
      </c>
      <c r="I25">
        <v>0</v>
      </c>
      <c r="J25" t="s">
        <v>59</v>
      </c>
      <c r="K25" t="s">
        <v>6</v>
      </c>
      <c r="M25" t="s">
        <v>6</v>
      </c>
      <c r="N25" t="s">
        <v>112</v>
      </c>
      <c r="O25" t="s">
        <v>111</v>
      </c>
      <c r="P25" t="s">
        <v>6</v>
      </c>
      <c r="Q25" t="s">
        <v>88</v>
      </c>
      <c r="R25" t="s">
        <v>6</v>
      </c>
      <c r="S25" t="s">
        <v>6</v>
      </c>
      <c r="Y25" t="s">
        <v>200</v>
      </c>
      <c r="Z25" s="12" t="s">
        <v>202</v>
      </c>
      <c r="AA25" t="s">
        <v>201</v>
      </c>
      <c r="AC25">
        <v>54</v>
      </c>
    </row>
    <row r="26" spans="1:29" x14ac:dyDescent="0.3">
      <c r="A26" t="s">
        <v>113</v>
      </c>
      <c r="B26" s="2">
        <f>Таблица1[[#This Row],[Quantity_of_parts_total]]-AC26</f>
        <v>-9</v>
      </c>
      <c r="C26" t="s">
        <v>55</v>
      </c>
      <c r="D26" t="s">
        <v>114</v>
      </c>
      <c r="E26" t="s">
        <v>57</v>
      </c>
      <c r="F26" t="s">
        <v>115</v>
      </c>
      <c r="G26">
        <v>9</v>
      </c>
      <c r="H26">
        <v>1</v>
      </c>
      <c r="I26">
        <v>0</v>
      </c>
      <c r="J26" t="s">
        <v>59</v>
      </c>
      <c r="K26" t="s">
        <v>6</v>
      </c>
      <c r="M26" t="s">
        <v>6</v>
      </c>
      <c r="N26" t="s">
        <v>92</v>
      </c>
      <c r="O26" t="s">
        <v>115</v>
      </c>
      <c r="P26" t="s">
        <v>6</v>
      </c>
      <c r="Q26" t="s">
        <v>88</v>
      </c>
      <c r="R26" t="s">
        <v>6</v>
      </c>
      <c r="S26" t="s">
        <v>6</v>
      </c>
      <c r="Y26" t="s">
        <v>200</v>
      </c>
      <c r="Z26" s="12" t="s">
        <v>202</v>
      </c>
      <c r="AA26" t="s">
        <v>201</v>
      </c>
      <c r="AC26" s="9">
        <v>9</v>
      </c>
    </row>
    <row r="27" spans="1:29" x14ac:dyDescent="0.3">
      <c r="A27" t="s">
        <v>116</v>
      </c>
      <c r="B27" s="2">
        <f>Таблица1[[#This Row],[Quantity_of_parts_total]]-AC27</f>
        <v>-9</v>
      </c>
      <c r="C27" t="s">
        <v>55</v>
      </c>
      <c r="D27" t="s">
        <v>117</v>
      </c>
      <c r="E27" t="s">
        <v>57</v>
      </c>
      <c r="F27" t="s">
        <v>118</v>
      </c>
      <c r="G27">
        <v>9</v>
      </c>
      <c r="H27">
        <v>1</v>
      </c>
      <c r="I27">
        <v>0</v>
      </c>
      <c r="J27" t="s">
        <v>59</v>
      </c>
      <c r="K27" t="s">
        <v>6</v>
      </c>
      <c r="M27" t="s">
        <v>6</v>
      </c>
      <c r="N27" t="s">
        <v>119</v>
      </c>
      <c r="O27" t="s">
        <v>118</v>
      </c>
      <c r="P27" t="s">
        <v>6</v>
      </c>
      <c r="Q27" t="s">
        <v>88</v>
      </c>
      <c r="R27" t="s">
        <v>6</v>
      </c>
      <c r="S27" t="s">
        <v>6</v>
      </c>
      <c r="Y27" t="s">
        <v>200</v>
      </c>
      <c r="Z27" s="12" t="s">
        <v>202</v>
      </c>
      <c r="AA27" t="s">
        <v>201</v>
      </c>
      <c r="AC27">
        <v>9</v>
      </c>
    </row>
    <row r="28" spans="1:29" x14ac:dyDescent="0.3">
      <c r="A28" t="s">
        <v>120</v>
      </c>
      <c r="B28" s="2">
        <f>Таблица1[[#This Row],[Quantity_of_parts_total]]-AC28</f>
        <v>-18</v>
      </c>
      <c r="C28" t="s">
        <v>55</v>
      </c>
      <c r="D28" t="s">
        <v>121</v>
      </c>
      <c r="E28" t="s">
        <v>57</v>
      </c>
      <c r="F28" t="s">
        <v>122</v>
      </c>
      <c r="G28">
        <v>18</v>
      </c>
      <c r="H28">
        <v>1</v>
      </c>
      <c r="I28">
        <v>0</v>
      </c>
      <c r="J28" t="s">
        <v>59</v>
      </c>
      <c r="K28" t="s">
        <v>6</v>
      </c>
      <c r="M28" t="s">
        <v>6</v>
      </c>
      <c r="N28" t="s">
        <v>123</v>
      </c>
      <c r="O28" t="s">
        <v>122</v>
      </c>
      <c r="P28" t="s">
        <v>6</v>
      </c>
      <c r="Q28" t="s">
        <v>88</v>
      </c>
      <c r="R28" t="s">
        <v>6</v>
      </c>
      <c r="S28" t="s">
        <v>6</v>
      </c>
      <c r="Y28" t="s">
        <v>200</v>
      </c>
      <c r="Z28" s="12" t="s">
        <v>202</v>
      </c>
      <c r="AA28" t="s">
        <v>201</v>
      </c>
      <c r="AC28" s="9">
        <v>18</v>
      </c>
    </row>
    <row r="29" spans="1:29" x14ac:dyDescent="0.3">
      <c r="A29" t="s">
        <v>124</v>
      </c>
      <c r="B29" s="2">
        <f>Таблица1[[#This Row],[Quantity_of_parts_total]]-AC29</f>
        <v>-36</v>
      </c>
      <c r="C29" t="s">
        <v>55</v>
      </c>
      <c r="D29" t="s">
        <v>125</v>
      </c>
      <c r="E29" t="s">
        <v>57</v>
      </c>
      <c r="F29" t="s">
        <v>126</v>
      </c>
      <c r="G29">
        <v>36</v>
      </c>
      <c r="H29">
        <v>1</v>
      </c>
      <c r="I29">
        <v>0</v>
      </c>
      <c r="J29" t="s">
        <v>59</v>
      </c>
      <c r="K29" t="s">
        <v>6</v>
      </c>
      <c r="M29" t="s">
        <v>6</v>
      </c>
      <c r="N29" t="s">
        <v>123</v>
      </c>
      <c r="O29" t="s">
        <v>126</v>
      </c>
      <c r="P29" t="s">
        <v>6</v>
      </c>
      <c r="Q29" t="s">
        <v>6</v>
      </c>
      <c r="R29" t="s">
        <v>6</v>
      </c>
      <c r="S29" t="s">
        <v>6</v>
      </c>
      <c r="Y29" t="s">
        <v>200</v>
      </c>
      <c r="Z29" s="12" t="s">
        <v>202</v>
      </c>
      <c r="AA29" t="s">
        <v>201</v>
      </c>
      <c r="AC29">
        <v>36</v>
      </c>
    </row>
    <row r="30" spans="1:29" x14ac:dyDescent="0.3">
      <c r="A30" t="s">
        <v>127</v>
      </c>
      <c r="B30" s="2">
        <f>Таблица1[[#This Row],[Quantity_of_parts_total]]-AC30</f>
        <v>-9</v>
      </c>
      <c r="C30" t="s">
        <v>55</v>
      </c>
      <c r="D30" t="s">
        <v>128</v>
      </c>
      <c r="E30" t="s">
        <v>57</v>
      </c>
      <c r="F30" t="s">
        <v>129</v>
      </c>
      <c r="G30">
        <v>9</v>
      </c>
      <c r="H30">
        <v>1</v>
      </c>
      <c r="I30">
        <v>0</v>
      </c>
      <c r="J30" t="s">
        <v>59</v>
      </c>
      <c r="K30" t="s">
        <v>6</v>
      </c>
      <c r="M30" t="s">
        <v>6</v>
      </c>
      <c r="N30" t="s">
        <v>130</v>
      </c>
      <c r="O30" t="s">
        <v>129</v>
      </c>
      <c r="P30" t="s">
        <v>6</v>
      </c>
      <c r="Q30" t="s">
        <v>6</v>
      </c>
      <c r="R30" t="s">
        <v>6</v>
      </c>
      <c r="S30" t="s">
        <v>6</v>
      </c>
      <c r="Y30" t="s">
        <v>200</v>
      </c>
      <c r="Z30" s="12" t="s">
        <v>202</v>
      </c>
      <c r="AA30" t="s">
        <v>201</v>
      </c>
      <c r="AC30" s="9">
        <v>9</v>
      </c>
    </row>
    <row r="31" spans="1:29" x14ac:dyDescent="0.3">
      <c r="A31" t="s">
        <v>131</v>
      </c>
      <c r="B31" s="2">
        <f>Таблица1[[#This Row],[Quantity_of_parts_total]]-AC31</f>
        <v>-9</v>
      </c>
      <c r="C31" t="s">
        <v>55</v>
      </c>
      <c r="D31" t="s">
        <v>132</v>
      </c>
      <c r="E31" t="s">
        <v>57</v>
      </c>
      <c r="F31" t="s">
        <v>133</v>
      </c>
      <c r="G31">
        <v>9</v>
      </c>
      <c r="H31">
        <v>1</v>
      </c>
      <c r="I31">
        <v>0</v>
      </c>
      <c r="J31" t="s">
        <v>59</v>
      </c>
      <c r="K31" t="s">
        <v>6</v>
      </c>
      <c r="M31" t="s">
        <v>6</v>
      </c>
      <c r="N31" t="s">
        <v>87</v>
      </c>
      <c r="O31" t="s">
        <v>133</v>
      </c>
      <c r="P31" t="s">
        <v>6</v>
      </c>
      <c r="Q31" t="s">
        <v>88</v>
      </c>
      <c r="R31" t="s">
        <v>6</v>
      </c>
      <c r="S31" t="s">
        <v>6</v>
      </c>
      <c r="Y31" t="s">
        <v>200</v>
      </c>
      <c r="Z31" s="12" t="s">
        <v>202</v>
      </c>
      <c r="AA31" t="s">
        <v>201</v>
      </c>
      <c r="AC31">
        <v>9</v>
      </c>
    </row>
    <row r="32" spans="1:29" x14ac:dyDescent="0.3">
      <c r="A32" t="s">
        <v>134</v>
      </c>
      <c r="B32" s="2">
        <f>Таблица1[[#This Row],[Quantity_of_parts_total]]-AC32</f>
        <v>-45</v>
      </c>
      <c r="C32" t="s">
        <v>55</v>
      </c>
      <c r="D32" t="s">
        <v>135</v>
      </c>
      <c r="E32" t="s">
        <v>57</v>
      </c>
      <c r="F32" t="s">
        <v>136</v>
      </c>
      <c r="G32">
        <v>45</v>
      </c>
      <c r="H32">
        <v>1</v>
      </c>
      <c r="I32">
        <v>0</v>
      </c>
      <c r="J32" t="s">
        <v>59</v>
      </c>
      <c r="K32" t="s">
        <v>6</v>
      </c>
      <c r="M32" t="s">
        <v>6</v>
      </c>
      <c r="N32" t="s">
        <v>137</v>
      </c>
      <c r="O32" t="s">
        <v>136</v>
      </c>
      <c r="P32" t="s">
        <v>6</v>
      </c>
      <c r="Q32" t="s">
        <v>6</v>
      </c>
      <c r="R32" t="s">
        <v>6</v>
      </c>
      <c r="S32" t="s">
        <v>6</v>
      </c>
      <c r="Y32" t="s">
        <v>200</v>
      </c>
      <c r="Z32" s="12" t="s">
        <v>202</v>
      </c>
      <c r="AA32" t="s">
        <v>201</v>
      </c>
      <c r="AC32" s="9">
        <v>45</v>
      </c>
    </row>
    <row r="33" spans="1:29" x14ac:dyDescent="0.3">
      <c r="A33" t="s">
        <v>138</v>
      </c>
      <c r="B33" s="2">
        <f>Таблица1[[#This Row],[Quantity_of_parts_total]]-AC33</f>
        <v>1221</v>
      </c>
      <c r="C33" t="s">
        <v>55</v>
      </c>
      <c r="D33" t="s">
        <v>139</v>
      </c>
      <c r="E33" t="s">
        <v>57</v>
      </c>
      <c r="F33" t="s">
        <v>140</v>
      </c>
      <c r="I33">
        <v>2544</v>
      </c>
      <c r="J33" t="s">
        <v>59</v>
      </c>
      <c r="K33" t="s">
        <v>6</v>
      </c>
      <c r="M33" t="s">
        <v>6</v>
      </c>
      <c r="N33" t="s">
        <v>141</v>
      </c>
      <c r="O33" t="s">
        <v>140</v>
      </c>
      <c r="P33" t="s">
        <v>142</v>
      </c>
      <c r="Q33" t="s">
        <v>6</v>
      </c>
      <c r="R33" t="s">
        <v>6</v>
      </c>
      <c r="S33" t="s">
        <v>6</v>
      </c>
      <c r="Y33" t="s">
        <v>200</v>
      </c>
      <c r="Z33" s="12" t="s">
        <v>202</v>
      </c>
      <c r="AA33" t="s">
        <v>201</v>
      </c>
      <c r="AC33">
        <v>1323</v>
      </c>
    </row>
    <row r="34" spans="1:29" x14ac:dyDescent="0.3">
      <c r="A34" t="s">
        <v>143</v>
      </c>
      <c r="B34" s="2">
        <f>Таблица1[[#This Row],[Quantity_of_parts_total]]-AC34</f>
        <v>-1</v>
      </c>
      <c r="C34" t="s">
        <v>144</v>
      </c>
      <c r="D34" t="s">
        <v>2</v>
      </c>
      <c r="E34" t="s">
        <v>57</v>
      </c>
      <c r="F34" t="s">
        <v>4</v>
      </c>
      <c r="G34">
        <v>1</v>
      </c>
      <c r="H34">
        <v>1</v>
      </c>
      <c r="I34">
        <v>0</v>
      </c>
      <c r="J34" t="s">
        <v>5</v>
      </c>
      <c r="K34" t="s">
        <v>6</v>
      </c>
      <c r="M34" t="s">
        <v>6</v>
      </c>
      <c r="N34" t="s">
        <v>6</v>
      </c>
      <c r="O34" t="s">
        <v>6</v>
      </c>
      <c r="P34" t="s">
        <v>6</v>
      </c>
      <c r="Q34" t="s">
        <v>6</v>
      </c>
      <c r="R34" t="s">
        <v>6</v>
      </c>
      <c r="S34" t="s">
        <v>7</v>
      </c>
      <c r="Y34" t="s">
        <v>200</v>
      </c>
      <c r="Z34" s="12" t="s">
        <v>202</v>
      </c>
      <c r="AA34" t="s">
        <v>201</v>
      </c>
      <c r="AC34" s="9">
        <v>1</v>
      </c>
    </row>
    <row r="35" spans="1:29" x14ac:dyDescent="0.3">
      <c r="A35" t="s">
        <v>145</v>
      </c>
      <c r="B35" s="2">
        <f>Таблица1[[#This Row],[Quantity_of_parts_total]]-AC35</f>
        <v>-1</v>
      </c>
      <c r="C35" t="s">
        <v>146</v>
      </c>
      <c r="D35" t="s">
        <v>10</v>
      </c>
      <c r="E35" t="s">
        <v>57</v>
      </c>
      <c r="F35" t="s">
        <v>11</v>
      </c>
      <c r="G35">
        <v>9</v>
      </c>
      <c r="H35">
        <v>1</v>
      </c>
      <c r="I35">
        <v>0</v>
      </c>
      <c r="J35" t="s">
        <v>12</v>
      </c>
      <c r="K35" t="s">
        <v>6</v>
      </c>
      <c r="M35" t="s">
        <v>6</v>
      </c>
      <c r="N35" t="s">
        <v>6</v>
      </c>
      <c r="O35" t="s">
        <v>6</v>
      </c>
      <c r="P35" t="s">
        <v>6</v>
      </c>
      <c r="Q35" t="s">
        <v>6</v>
      </c>
      <c r="R35" t="s">
        <v>6</v>
      </c>
      <c r="S35" t="s">
        <v>14</v>
      </c>
      <c r="Y35" t="s">
        <v>200</v>
      </c>
      <c r="Z35" s="12" t="s">
        <v>202</v>
      </c>
      <c r="AA35" t="s">
        <v>201</v>
      </c>
      <c r="AC35">
        <v>1</v>
      </c>
    </row>
    <row r="36" spans="1:29" x14ac:dyDescent="0.3">
      <c r="A36" t="s">
        <v>147</v>
      </c>
      <c r="B36" s="2">
        <f>Таблица1[[#This Row],[Quantity_of_parts_total]]-AC36</f>
        <v>-1</v>
      </c>
      <c r="C36" t="s">
        <v>148</v>
      </c>
      <c r="D36" t="s">
        <v>17</v>
      </c>
      <c r="E36" t="s">
        <v>57</v>
      </c>
      <c r="F36" t="s">
        <v>18</v>
      </c>
      <c r="G36">
        <v>9</v>
      </c>
      <c r="H36">
        <v>1</v>
      </c>
      <c r="I36">
        <v>0</v>
      </c>
      <c r="J36" t="s">
        <v>12</v>
      </c>
      <c r="K36" t="s">
        <v>6</v>
      </c>
      <c r="M36" t="s">
        <v>6</v>
      </c>
      <c r="N36" t="s">
        <v>6</v>
      </c>
      <c r="O36" t="s">
        <v>6</v>
      </c>
      <c r="P36" t="s">
        <v>6</v>
      </c>
      <c r="Q36" t="s">
        <v>6</v>
      </c>
      <c r="R36" t="s">
        <v>6</v>
      </c>
      <c r="S36" t="s">
        <v>20</v>
      </c>
      <c r="Y36" t="s">
        <v>200</v>
      </c>
      <c r="Z36" s="12" t="s">
        <v>202</v>
      </c>
      <c r="AA36" t="s">
        <v>201</v>
      </c>
      <c r="AC36" s="9">
        <v>1</v>
      </c>
    </row>
    <row r="37" spans="1:29" x14ac:dyDescent="0.3">
      <c r="A37" t="s">
        <v>149</v>
      </c>
      <c r="B37" s="2">
        <f>Таблица1[[#This Row],[Quantity_of_parts_total]]-AC37</f>
        <v>-1</v>
      </c>
      <c r="C37" t="s">
        <v>148</v>
      </c>
      <c r="D37" t="s">
        <v>22</v>
      </c>
      <c r="E37" t="s">
        <v>57</v>
      </c>
      <c r="F37" t="s">
        <v>23</v>
      </c>
      <c r="G37">
        <v>9</v>
      </c>
      <c r="H37">
        <v>1</v>
      </c>
      <c r="I37">
        <v>0</v>
      </c>
      <c r="J37" t="s">
        <v>12</v>
      </c>
      <c r="K37" t="s">
        <v>6</v>
      </c>
      <c r="M37" t="s">
        <v>6</v>
      </c>
      <c r="N37" t="s">
        <v>6</v>
      </c>
      <c r="O37" t="s">
        <v>6</v>
      </c>
      <c r="P37" t="s">
        <v>6</v>
      </c>
      <c r="Q37" t="s">
        <v>6</v>
      </c>
      <c r="R37" t="s">
        <v>6</v>
      </c>
      <c r="S37" t="s">
        <v>20</v>
      </c>
      <c r="Y37" t="s">
        <v>200</v>
      </c>
      <c r="Z37" s="12" t="s">
        <v>202</v>
      </c>
      <c r="AA37" t="s">
        <v>201</v>
      </c>
      <c r="AC37">
        <v>1</v>
      </c>
    </row>
    <row r="38" spans="1:29" x14ac:dyDescent="0.3">
      <c r="A38" t="s">
        <v>150</v>
      </c>
      <c r="B38" s="2">
        <f>Таблица1[[#This Row],[Quantity_of_parts_total]]-AC38</f>
        <v>-1</v>
      </c>
      <c r="C38" t="s">
        <v>148</v>
      </c>
      <c r="D38" t="s">
        <v>25</v>
      </c>
      <c r="E38" t="s">
        <v>57</v>
      </c>
      <c r="F38" t="s">
        <v>26</v>
      </c>
      <c r="G38">
        <v>9</v>
      </c>
      <c r="H38">
        <v>1</v>
      </c>
      <c r="I38">
        <v>0</v>
      </c>
      <c r="J38" t="s">
        <v>12</v>
      </c>
      <c r="K38" t="s">
        <v>6</v>
      </c>
      <c r="M38" t="s">
        <v>6</v>
      </c>
      <c r="N38" t="s">
        <v>6</v>
      </c>
      <c r="O38" t="s">
        <v>6</v>
      </c>
      <c r="P38" t="s">
        <v>6</v>
      </c>
      <c r="Q38" t="s">
        <v>6</v>
      </c>
      <c r="R38" t="s">
        <v>6</v>
      </c>
      <c r="S38" t="s">
        <v>20</v>
      </c>
      <c r="Y38" t="s">
        <v>200</v>
      </c>
      <c r="Z38" s="12" t="s">
        <v>202</v>
      </c>
      <c r="AA38" t="s">
        <v>201</v>
      </c>
      <c r="AC38" s="9">
        <v>1</v>
      </c>
    </row>
    <row r="39" spans="1:29" x14ac:dyDescent="0.3">
      <c r="A39" t="s">
        <v>151</v>
      </c>
      <c r="B39" s="2">
        <f>Таблица1[[#This Row],[Quantity_of_parts_total]]-AC39</f>
        <v>-1</v>
      </c>
      <c r="C39" t="s">
        <v>152</v>
      </c>
      <c r="D39" t="s">
        <v>29</v>
      </c>
      <c r="E39" t="s">
        <v>57</v>
      </c>
      <c r="F39" t="s">
        <v>30</v>
      </c>
      <c r="G39">
        <v>9</v>
      </c>
      <c r="H39">
        <v>1</v>
      </c>
      <c r="I39">
        <v>0</v>
      </c>
      <c r="J39" t="s">
        <v>12</v>
      </c>
      <c r="K39" t="s">
        <v>6</v>
      </c>
      <c r="M39" t="s">
        <v>6</v>
      </c>
      <c r="N39" t="s">
        <v>6</v>
      </c>
      <c r="O39" t="s">
        <v>6</v>
      </c>
      <c r="P39" t="s">
        <v>6</v>
      </c>
      <c r="Q39" t="s">
        <v>6</v>
      </c>
      <c r="R39" t="s">
        <v>6</v>
      </c>
      <c r="S39" t="s">
        <v>31</v>
      </c>
      <c r="Y39" t="s">
        <v>200</v>
      </c>
      <c r="Z39" s="12" t="s">
        <v>202</v>
      </c>
      <c r="AA39" t="s">
        <v>201</v>
      </c>
      <c r="AC39">
        <v>1</v>
      </c>
    </row>
    <row r="40" spans="1:29" x14ac:dyDescent="0.3">
      <c r="A40" t="s">
        <v>153</v>
      </c>
      <c r="B40" s="2">
        <f>Таблица1[[#This Row],[Quantity_of_parts_total]]-AC40</f>
        <v>-1</v>
      </c>
      <c r="C40" t="s">
        <v>152</v>
      </c>
      <c r="D40" t="s">
        <v>33</v>
      </c>
      <c r="E40" t="s">
        <v>57</v>
      </c>
      <c r="F40" t="s">
        <v>34</v>
      </c>
      <c r="G40">
        <v>9</v>
      </c>
      <c r="H40">
        <v>1</v>
      </c>
      <c r="I40">
        <v>0</v>
      </c>
      <c r="J40" t="s">
        <v>12</v>
      </c>
      <c r="K40" t="s">
        <v>6</v>
      </c>
      <c r="M40" t="s">
        <v>6</v>
      </c>
      <c r="N40" t="s">
        <v>6</v>
      </c>
      <c r="O40" t="s">
        <v>6</v>
      </c>
      <c r="P40" t="s">
        <v>6</v>
      </c>
      <c r="Q40" t="s">
        <v>6</v>
      </c>
      <c r="R40" t="s">
        <v>6</v>
      </c>
      <c r="S40" t="s">
        <v>31</v>
      </c>
      <c r="Y40" t="s">
        <v>200</v>
      </c>
      <c r="Z40" s="12" t="s">
        <v>202</v>
      </c>
      <c r="AA40" t="s">
        <v>201</v>
      </c>
      <c r="AC40" s="9">
        <v>1</v>
      </c>
    </row>
    <row r="41" spans="1:29" x14ac:dyDescent="0.3">
      <c r="A41" t="s">
        <v>154</v>
      </c>
      <c r="B41" s="2">
        <f>Таблица1[[#This Row],[Quantity_of_parts_total]]-AC41</f>
        <v>-1</v>
      </c>
      <c r="C41" t="s">
        <v>155</v>
      </c>
      <c r="D41" t="s">
        <v>37</v>
      </c>
      <c r="E41" t="s">
        <v>57</v>
      </c>
      <c r="F41" t="s">
        <v>38</v>
      </c>
      <c r="G41">
        <v>9</v>
      </c>
      <c r="H41">
        <v>1</v>
      </c>
      <c r="I41">
        <v>0</v>
      </c>
      <c r="J41" t="s">
        <v>12</v>
      </c>
      <c r="K41" t="s">
        <v>6</v>
      </c>
      <c r="M41" t="s">
        <v>6</v>
      </c>
      <c r="N41" t="s">
        <v>6</v>
      </c>
      <c r="O41" t="s">
        <v>6</v>
      </c>
      <c r="P41" t="s">
        <v>6</v>
      </c>
      <c r="Q41" t="s">
        <v>6</v>
      </c>
      <c r="R41" t="s">
        <v>6</v>
      </c>
      <c r="S41" t="s">
        <v>40</v>
      </c>
      <c r="Y41" t="s">
        <v>200</v>
      </c>
      <c r="Z41" s="12" t="s">
        <v>202</v>
      </c>
      <c r="AA41" t="s">
        <v>201</v>
      </c>
      <c r="AC41">
        <v>1</v>
      </c>
    </row>
    <row r="42" spans="1:29" x14ac:dyDescent="0.3">
      <c r="A42" t="s">
        <v>156</v>
      </c>
      <c r="B42" s="2">
        <f>Таблица1[[#This Row],[Quantity_of_parts_total]]-AC42</f>
        <v>-1</v>
      </c>
      <c r="C42" t="s">
        <v>157</v>
      </c>
      <c r="D42" t="s">
        <v>43</v>
      </c>
      <c r="E42" t="s">
        <v>57</v>
      </c>
      <c r="F42" t="s">
        <v>44</v>
      </c>
      <c r="G42">
        <v>9</v>
      </c>
      <c r="H42">
        <v>1</v>
      </c>
      <c r="I42">
        <v>0</v>
      </c>
      <c r="J42" t="s">
        <v>45</v>
      </c>
      <c r="K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6</v>
      </c>
      <c r="R42" t="s">
        <v>6</v>
      </c>
      <c r="S42" t="s">
        <v>46</v>
      </c>
      <c r="Y42" t="s">
        <v>200</v>
      </c>
      <c r="Z42" s="12" t="s">
        <v>202</v>
      </c>
      <c r="AA42" t="s">
        <v>201</v>
      </c>
      <c r="AC42" s="9">
        <v>1</v>
      </c>
    </row>
    <row r="43" spans="1:29" x14ac:dyDescent="0.3">
      <c r="A43" t="s">
        <v>158</v>
      </c>
      <c r="B43" s="2">
        <f>Таблица1[[#This Row],[Quantity_of_parts_total]]-AC43</f>
        <v>-1</v>
      </c>
      <c r="C43" t="s">
        <v>157</v>
      </c>
      <c r="D43" t="s">
        <v>48</v>
      </c>
      <c r="E43" t="s">
        <v>57</v>
      </c>
      <c r="F43" t="s">
        <v>159</v>
      </c>
      <c r="G43">
        <v>9</v>
      </c>
      <c r="H43">
        <v>1</v>
      </c>
      <c r="I43">
        <v>0</v>
      </c>
      <c r="J43" t="s">
        <v>45</v>
      </c>
      <c r="K43" t="s">
        <v>6</v>
      </c>
      <c r="M43" t="s">
        <v>6</v>
      </c>
      <c r="N43" t="s">
        <v>6</v>
      </c>
      <c r="O43" t="s">
        <v>6</v>
      </c>
      <c r="P43" t="s">
        <v>6</v>
      </c>
      <c r="Q43" t="s">
        <v>6</v>
      </c>
      <c r="R43" t="s">
        <v>6</v>
      </c>
      <c r="S43" t="s">
        <v>46</v>
      </c>
      <c r="Y43" t="s">
        <v>200</v>
      </c>
      <c r="Z43" s="12" t="s">
        <v>202</v>
      </c>
      <c r="AA43" t="s">
        <v>201</v>
      </c>
      <c r="AC43">
        <v>1</v>
      </c>
    </row>
    <row r="44" spans="1:29" x14ac:dyDescent="0.3">
      <c r="A44" t="s">
        <v>160</v>
      </c>
      <c r="B44" s="2">
        <f>Таблица1[[#This Row],[Quantity_of_parts_total]]-AC44</f>
        <v>-1</v>
      </c>
      <c r="C44" t="s">
        <v>157</v>
      </c>
      <c r="D44" t="s">
        <v>51</v>
      </c>
      <c r="E44" t="s">
        <v>57</v>
      </c>
      <c r="F44" t="s">
        <v>53</v>
      </c>
      <c r="G44">
        <v>9</v>
      </c>
      <c r="H44">
        <v>1</v>
      </c>
      <c r="I44">
        <v>0</v>
      </c>
      <c r="J44" t="s">
        <v>45</v>
      </c>
      <c r="K44" t="s">
        <v>6</v>
      </c>
      <c r="M44" t="s">
        <v>6</v>
      </c>
      <c r="N44" t="s">
        <v>6</v>
      </c>
      <c r="O44" t="s">
        <v>6</v>
      </c>
      <c r="P44" t="s">
        <v>6</v>
      </c>
      <c r="Q44" t="s">
        <v>6</v>
      </c>
      <c r="R44" t="s">
        <v>6</v>
      </c>
      <c r="S44" t="s">
        <v>46</v>
      </c>
      <c r="Y44" t="s">
        <v>200</v>
      </c>
      <c r="Z44" s="12" t="s">
        <v>202</v>
      </c>
      <c r="AA44" t="s">
        <v>201</v>
      </c>
      <c r="AC44" s="9">
        <v>1</v>
      </c>
    </row>
    <row r="45" spans="1:29" x14ac:dyDescent="0.3">
      <c r="A45" t="s">
        <v>161</v>
      </c>
      <c r="B45" s="2">
        <f>Таблица1[[#This Row],[Quantity_of_parts_total]]-AC45</f>
        <v>-1</v>
      </c>
      <c r="C45" t="s">
        <v>162</v>
      </c>
      <c r="D45" t="s">
        <v>163</v>
      </c>
      <c r="E45" t="s">
        <v>57</v>
      </c>
      <c r="F45" t="s">
        <v>164</v>
      </c>
      <c r="G45">
        <v>10</v>
      </c>
      <c r="H45">
        <v>1</v>
      </c>
      <c r="I45">
        <v>0</v>
      </c>
      <c r="J45" t="s">
        <v>59</v>
      </c>
      <c r="K45" t="s">
        <v>6</v>
      </c>
      <c r="M45" t="s">
        <v>6</v>
      </c>
      <c r="N45" t="s">
        <v>60</v>
      </c>
      <c r="O45" t="s">
        <v>165</v>
      </c>
      <c r="P45" t="s">
        <v>6</v>
      </c>
      <c r="Q45" t="s">
        <v>6</v>
      </c>
      <c r="R45" t="s">
        <v>6</v>
      </c>
      <c r="S45" t="s">
        <v>6</v>
      </c>
      <c r="Y45" t="s">
        <v>200</v>
      </c>
      <c r="Z45" s="12" t="s">
        <v>202</v>
      </c>
      <c r="AA45" t="s">
        <v>201</v>
      </c>
      <c r="AC45">
        <v>1</v>
      </c>
    </row>
    <row r="46" spans="1:29" x14ac:dyDescent="0.3">
      <c r="A46" t="s">
        <v>166</v>
      </c>
      <c r="B46" s="2">
        <f>Таблица1[[#This Row],[Quantity_of_parts_total]]-AC46</f>
        <v>-1</v>
      </c>
      <c r="C46" t="s">
        <v>162</v>
      </c>
      <c r="D46" t="s">
        <v>167</v>
      </c>
      <c r="E46" t="s">
        <v>57</v>
      </c>
      <c r="F46" t="s">
        <v>168</v>
      </c>
      <c r="G46">
        <v>9</v>
      </c>
      <c r="H46">
        <v>1</v>
      </c>
      <c r="I46">
        <v>0</v>
      </c>
      <c r="J46" t="s">
        <v>59</v>
      </c>
      <c r="K46" t="s">
        <v>6</v>
      </c>
      <c r="M46" t="s">
        <v>6</v>
      </c>
      <c r="N46" t="s">
        <v>65</v>
      </c>
      <c r="O46" t="s">
        <v>168</v>
      </c>
      <c r="P46" t="s">
        <v>6</v>
      </c>
      <c r="Q46" t="s">
        <v>6</v>
      </c>
      <c r="R46" t="s">
        <v>6</v>
      </c>
      <c r="S46" t="s">
        <v>6</v>
      </c>
      <c r="Y46" t="s">
        <v>200</v>
      </c>
      <c r="Z46" s="12" t="s">
        <v>202</v>
      </c>
      <c r="AA46" t="s">
        <v>201</v>
      </c>
      <c r="AC46" s="9">
        <v>1</v>
      </c>
    </row>
    <row r="47" spans="1:29" x14ac:dyDescent="0.3">
      <c r="A47" t="s">
        <v>169</v>
      </c>
      <c r="B47" s="2">
        <f>Таблица1[[#This Row],[Quantity_of_parts_total]]-AC47</f>
        <v>-1</v>
      </c>
      <c r="C47" t="s">
        <v>162</v>
      </c>
      <c r="D47" t="s">
        <v>170</v>
      </c>
      <c r="E47" t="s">
        <v>57</v>
      </c>
      <c r="F47" t="s">
        <v>171</v>
      </c>
      <c r="G47">
        <v>9</v>
      </c>
      <c r="H47">
        <v>1</v>
      </c>
      <c r="I47">
        <v>0</v>
      </c>
      <c r="J47" t="s">
        <v>59</v>
      </c>
      <c r="K47" t="s">
        <v>6</v>
      </c>
      <c r="M47" t="s">
        <v>6</v>
      </c>
      <c r="N47" t="s">
        <v>65</v>
      </c>
      <c r="O47" t="s">
        <v>171</v>
      </c>
      <c r="P47" t="s">
        <v>6</v>
      </c>
      <c r="Q47" t="s">
        <v>6</v>
      </c>
      <c r="R47" t="s">
        <v>6</v>
      </c>
      <c r="S47" t="s">
        <v>6</v>
      </c>
      <c r="Y47" t="s">
        <v>200</v>
      </c>
      <c r="Z47" s="12" t="s">
        <v>202</v>
      </c>
      <c r="AA47" t="s">
        <v>201</v>
      </c>
      <c r="AC47">
        <v>1</v>
      </c>
    </row>
    <row r="48" spans="1:29" x14ac:dyDescent="0.3">
      <c r="A48" t="s">
        <v>191</v>
      </c>
      <c r="B48" s="2">
        <f>Таблица1[[#This Row],[Quantity_of_parts_total]]-AC48</f>
        <v>-37</v>
      </c>
      <c r="C48" t="s">
        <v>162</v>
      </c>
      <c r="D48" t="s">
        <v>163</v>
      </c>
      <c r="E48" t="s">
        <v>57</v>
      </c>
      <c r="F48" t="s">
        <v>164</v>
      </c>
      <c r="G48">
        <v>10</v>
      </c>
      <c r="H48">
        <v>1</v>
      </c>
      <c r="I48">
        <v>0</v>
      </c>
      <c r="J48" t="s">
        <v>59</v>
      </c>
      <c r="K48" t="s">
        <v>6</v>
      </c>
      <c r="M48" t="s">
        <v>6</v>
      </c>
      <c r="N48" t="s">
        <v>60</v>
      </c>
      <c r="O48" t="s">
        <v>165</v>
      </c>
      <c r="P48" t="s">
        <v>6</v>
      </c>
      <c r="Q48" t="s">
        <v>6</v>
      </c>
      <c r="R48" t="s">
        <v>6</v>
      </c>
      <c r="S48" t="s">
        <v>6</v>
      </c>
      <c r="Y48" t="s">
        <v>200</v>
      </c>
      <c r="Z48" s="12" t="s">
        <v>202</v>
      </c>
      <c r="AA48" t="s">
        <v>201</v>
      </c>
      <c r="AC48" s="10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F8A17-E4B9-AE4F-853C-0529D585846B}">
  <dimension ref="A1"/>
  <sheetViews>
    <sheetView workbookViewId="0"/>
  </sheetViews>
  <sheetFormatPr defaultColWidth="8.777343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FD1F0-82B9-0642-8694-920BF9FBD5EE}">
  <dimension ref="A1"/>
  <sheetViews>
    <sheetView workbookViewId="0"/>
  </sheetViews>
  <sheetFormatPr defaultColWidth="8.777343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Main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2026-04-18T03:50:16Z</dcterms:modified>
</cp:coreProperties>
</file>